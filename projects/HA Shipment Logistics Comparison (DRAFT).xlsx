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rt Here" sheetId="1" r:id="rId5"/>
    <sheet state="visible" name="Shipment Setup" sheetId="2" r:id="rId6"/>
    <sheet state="visible" name="Amazon Path (AGL)" sheetId="3" r:id="rId7"/>
    <sheet state="visible" name="Scenario 1" sheetId="4" r:id="rId8"/>
    <sheet state="visible" name="Scenario 2" sheetId="5" r:id="rId9"/>
    <sheet state="visible" name="Scenario 3" sheetId="6" r:id="rId10"/>
    <sheet state="visible" name="Comparison" sheetId="7" r:id="rId11"/>
    <sheet state="visible" name="Products" sheetId="8" r:id="rId12"/>
    <sheet state="visible" name="Rate Card" sheetId="9" r:id="rId13"/>
    <sheet state="visible" name="Shipment Log" sheetId="10" r:id="rId14"/>
    <sheet state="visible" name="Checks" sheetId="11" r:id="rId15"/>
  </sheets>
  <definedNames/>
  <calcPr/>
</workbook>
</file>

<file path=xl/sharedStrings.xml><?xml version="1.0" encoding="utf-8"?>
<sst xmlns="http://schemas.openxmlformats.org/spreadsheetml/2006/main" count="546" uniqueCount="281">
  <si>
    <t>HUNGRY ARTISAN - SHIPMENT LOGISTICS COMPARISON</t>
  </si>
  <si>
    <t>SHIPMENT SETUP</t>
  </si>
  <si>
    <t>AMAZON PATH - CHINA &gt; AGL &gt; AWD &gt; FBA / WFS / FBT</t>
  </si>
  <si>
    <t>From Scratch. On Purpose.  |  DRAFT for the 2027 logistics plan  |  Owner: Victoria  |  Compares total cost to ship, not product profitability</t>
  </si>
  <si>
    <t>HOW TO USE (per shipment)</t>
  </si>
  <si>
    <t>Enter the AGL quote for this shipment. AWD fees come from Products and Rate Card. AGL never includes duty and tariff - they are always paid separately.</t>
  </si>
  <si>
    <t>1. AGL QUOTE (per shipment)</t>
  </si>
  <si>
    <t>1. Products</t>
  </si>
  <si>
    <t>RESULTS (output only)</t>
  </si>
  <si>
    <t>Enter the shipment once. Every path (Amazon AGL and Scenarios 1-3) is costed from this tab. Yellow = input.</t>
  </si>
  <si>
    <t>Keep the Products tab current: carton size, kg, unit COGS, HTS and duty rates.</t>
  </si>
  <si>
    <t>AGL quote reference</t>
  </si>
  <si>
    <t>2. Shipment Setup</t>
  </si>
  <si>
    <t>Pick one or more products, enter units and how many go to AWD, FBA direct, Walmart WFS and TikTok FBT. Choose whether shared costs split by CBM or weight, and whether to include cost of capital.</t>
  </si>
  <si>
    <t>3. Amazon Path (AGL)</t>
  </si>
  <si>
    <t>Enter the AGL quote for this shipment. Duty and tariff are always paid separately; AWD fees come from Products and Rate Card.</t>
  </si>
  <si>
    <t>4. Scenario 1, 2, 3</t>
  </si>
  <si>
    <t>Enter up to three third-party quotes with identical inputs. Pick the Incoterm (EXW, FOB or DDP) and mode (FCL, LCL or Air). Greyed rows do not apply. DDP skips tariff.</t>
  </si>
  <si>
    <t>5. Comparison</t>
  </si>
  <si>
    <t>Read the total landed cost, cost per unit, difference vs the Amazon path, cost by destination and by product, plus cheapest and fastest flags.</t>
  </si>
  <si>
    <t>6. Checks and Log</t>
  </si>
  <si>
    <t>Clear every CHECK on the Checks tab, then record the decision on the Shipment Log.</t>
  </si>
  <si>
    <t>COLOR KEY</t>
  </si>
  <si>
    <t>Yellow, blue text</t>
  </si>
  <si>
    <t>SHIPMENT</t>
  </si>
  <si>
    <t>Main freight / all-in quote</t>
  </si>
  <si>
    <t>Shipment name / PO</t>
  </si>
  <si>
    <t>Input - type here</t>
  </si>
  <si>
    <t>Cream</t>
  </si>
  <si>
    <t>Calculated - do not overwrite</t>
  </si>
  <si>
    <t>Grey</t>
  </si>
  <si>
    <t>Does not apply to the chosen Incoterm / mode</t>
  </si>
  <si>
    <t>ASSUMPTIONS</t>
  </si>
  <si>
    <t>Duty is calculated on customs value (unit COGS x units).</t>
  </si>
  <si>
    <t>Date</t>
  </si>
  <si>
    <t>Shared costs (freight, origin, destination, hub, other) are split by CBM or weight; delivery costs go to their own destination.</t>
  </si>
  <si>
    <t>The AGL discount is already inside the AGL quote. The placement-fee waiver on AWD appears as $0 placement fee plus a memo.</t>
  </si>
  <si>
    <t>Transparency labels and other costs identical on every path are left out.</t>
  </si>
  <si>
    <t>Seeded AWD rates are Sept 2026 figures: VERIFY before use.</t>
  </si>
  <si>
    <t>Allocate shared costs by</t>
  </si>
  <si>
    <t>CBM</t>
  </si>
  <si>
    <t>Mixed loads: splits freight between products by CBM or by weight</t>
  </si>
  <si>
    <t>SCENARIO 1 - THIRD-PARTY FREIGHT QUOTE</t>
  </si>
  <si>
    <t>Include cost of capital?</t>
  </si>
  <si>
    <t>Quote valid until</t>
  </si>
  <si>
    <t>No</t>
  </si>
  <si>
    <t>Origin charges</t>
  </si>
  <si>
    <t>Annual cost of capital %</t>
  </si>
  <si>
    <t>Quote inputs are the source of truth for freight and tariff costs. Greyed rows do not apply to the chosen Incoterm / mode. Scenarios 1-3 have identical inputs.</t>
  </si>
  <si>
    <t>1. QUOTE DETAILS</t>
  </si>
  <si>
    <t>Mode</t>
  </si>
  <si>
    <t>Forwarder / carrier</t>
  </si>
  <si>
    <t>Origin port / factory</t>
  </si>
  <si>
    <t>FCL, LCL or Air</t>
  </si>
  <si>
    <t>Destination port, brokerage, insurance</t>
  </si>
  <si>
    <t>PRODUCTS IN THIS SHIPMENT (1 to 10 rows)  -  pick the product, enter units and where the units go</t>
  </si>
  <si>
    <t>Quote reference</t>
  </si>
  <si>
    <t>Transit days (departure to AWD receipt)</t>
  </si>
  <si>
    <t>Duty &amp; tariff</t>
  </si>
  <si>
    <t>Product</t>
  </si>
  <si>
    <t>Units</t>
  </si>
  <si>
    <t>Units / carton</t>
  </si>
  <si>
    <t>Cartons</t>
  </si>
  <si>
    <t>CBM / carton</t>
  </si>
  <si>
    <t>Total CBM</t>
  </si>
  <si>
    <t>kg / carton</t>
  </si>
  <si>
    <t>Total kg</t>
  </si>
  <si>
    <t>Unit COGS</t>
  </si>
  <si>
    <t>Customs value</t>
  </si>
  <si>
    <t>Incoterm</t>
  </si>
  <si>
    <t>HTS</t>
  </si>
  <si>
    <t>Duty %</t>
  </si>
  <si>
    <t>Tariff %</t>
  </si>
  <si>
    <t>Other %</t>
  </si>
  <si>
    <t>Duty + tariff $</t>
  </si>
  <si>
    <t>To AWD (units)</t>
  </si>
  <si>
    <t>To FBA direct (units)</t>
  </si>
  <si>
    <t>To Walmart WFS (units)</t>
  </si>
  <si>
    <t>To TikTok FBT (units)</t>
  </si>
  <si>
    <t>Unallocated units</t>
  </si>
  <si>
    <t>EXW, FOB or DDP. DDP = duty included, no tariff entered</t>
  </si>
  <si>
    <t>CBM / unit</t>
  </si>
  <si>
    <t>Days from AWD receipt to sellable stock</t>
  </si>
  <si>
    <t>kg / unit</t>
  </si>
  <si>
    <t>Delivery to AWD</t>
  </si>
  <si>
    <t>Duty $ / unit</t>
  </si>
  <si>
    <t>Alloc. weight / unit</t>
  </si>
  <si>
    <t>Share of shared cost</t>
  </si>
  <si>
    <t>AWD proc. $/unit</t>
  </si>
  <si>
    <t>AWD to FBA $/unit</t>
  </si>
  <si>
    <t>2. AGL FREIGHT (AGL discount is already inside the quote)</t>
  </si>
  <si>
    <t>Delivery / transfer to FBA</t>
  </si>
  <si>
    <t>Transit days (departure to arrival)</t>
  </si>
  <si>
    <t>Days from arrival to sellable stock</t>
  </si>
  <si>
    <t>Delivery / transfer to Walmart WFS</t>
  </si>
  <si>
    <t>FCL: number of containers</t>
  </si>
  <si>
    <t>SCENARIO 2 - THIRD-PARTY FREIGHT QUOTE</t>
  </si>
  <si>
    <t>FCL: price per container ($)</t>
  </si>
  <si>
    <t>2. FREIGHT</t>
  </si>
  <si>
    <t>Delivery / transfer to TikTok FBT</t>
  </si>
  <si>
    <t>Classic Food Mill</t>
  </si>
  <si>
    <t>LCL: rate per CBM ($)</t>
  </si>
  <si>
    <t>Inbound placement fees</t>
  </si>
  <si>
    <t>Placement fee waived: $0</t>
  </si>
  <si>
    <t>LCL: minimum charge ($)</t>
  </si>
  <si>
    <t>Hub storage, handling &amp; AWD fees</t>
  </si>
  <si>
    <t>DDP all-in quote total ($)</t>
  </si>
  <si>
    <t>DDP only: door price incl. freight, duty, clearance</t>
  </si>
  <si>
    <t>Air: rate per kg ($)</t>
  </si>
  <si>
    <t>Other fees</t>
  </si>
  <si>
    <t>Air: chargeable kg (calculated)</t>
  </si>
  <si>
    <t>TOTAL LANDED COST (shipment)</t>
  </si>
  <si>
    <t>AGL freight total (calculated)</t>
  </si>
  <si>
    <t>Cost per unit</t>
  </si>
  <si>
    <t>Days: transit + to sellable</t>
  </si>
  <si>
    <t>Greater of actual kg and volumetric kg</t>
  </si>
  <si>
    <t>Cost of capital in transit (optional)</t>
  </si>
  <si>
    <t>Other AGL charges billed by AGL ($)</t>
  </si>
  <si>
    <t>Main freight total (calculated)</t>
  </si>
  <si>
    <t>3. DUTY, TARIFF AND CUSTOMS (always paid separately)</t>
  </si>
  <si>
    <t>Total incl. cost of capital</t>
  </si>
  <si>
    <t>Customs brokerage, ISF, bond ($)</t>
  </si>
  <si>
    <t>3. ORIGIN CHARGES (EXW only)</t>
  </si>
  <si>
    <t>Cost per unit incl. capital</t>
  </si>
  <si>
    <t>Cargo insurance ($)</t>
  </si>
  <si>
    <t>Factory pickup / trucking to port ($)</t>
  </si>
  <si>
    <t>Export customs clearance ($)</t>
  </si>
  <si>
    <t>BY DESTINATION</t>
  </si>
  <si>
    <t>Origin handling / THC / docs ($)</t>
  </si>
  <si>
    <t>Destination</t>
  </si>
  <si>
    <t>Total cost</t>
  </si>
  <si>
    <t>Cost / unit</t>
  </si>
  <si>
    <t>Alloc. weight</t>
  </si>
  <si>
    <t>Direct cost</t>
  </si>
  <si>
    <t>Origin total (calculated)</t>
  </si>
  <si>
    <t>Duty &amp; tariff (calculated from Shipment Setup)</t>
  </si>
  <si>
    <t>AWD</t>
  </si>
  <si>
    <t>4. AWD AND AMAZON FEES</t>
  </si>
  <si>
    <t>AWD inbound + processing (calculated)</t>
  </si>
  <si>
    <t>All units x Products rate</t>
  </si>
  <si>
    <t>AWD to FBA transfer (calculated)</t>
  </si>
  <si>
    <t>4. DESTINATION CHARGES (EXW and FOB; included in DDP)</t>
  </si>
  <si>
    <t>FBA direct</t>
  </si>
  <si>
    <t>FBA units x Products rate</t>
  </si>
  <si>
    <t>Destination port / terminal / drayage ($)</t>
  </si>
  <si>
    <t>Walmart WFS</t>
  </si>
  <si>
    <t>Average months stored in AWD</t>
  </si>
  <si>
    <t>TikTok FBT</t>
  </si>
  <si>
    <t>AWD storage (calculated)</t>
  </si>
  <si>
    <t>CBM x Rate Card $/CBM/month x months</t>
  </si>
  <si>
    <t>Destination total (calculated)</t>
  </si>
  <si>
    <t>BY PRODUCT</t>
  </si>
  <si>
    <t>5. DELIVERY TO EACH DESTINATION (total $ per destination)</t>
  </si>
  <si>
    <t>To AWD</t>
  </si>
  <si>
    <t>AWD to Walmart WFS transfer total ($)</t>
  </si>
  <si>
    <t>To FBA direct</t>
  </si>
  <si>
    <t>AWD to TikTok FBT transfer total ($)</t>
  </si>
  <si>
    <t>Other fees ($)</t>
  </si>
  <si>
    <t>5. DISCOUNT MEMOS (not added to total)</t>
  </si>
  <si>
    <t>Placement fee waived by AWD (memo $)</t>
  </si>
  <si>
    <t>FBA units x Rate Card placement fee</t>
  </si>
  <si>
    <t>To Walmart WFS</t>
  </si>
  <si>
    <t>To TikTok FBT</t>
  </si>
  <si>
    <t>Optional: market freight quote for the same load ($)</t>
  </si>
  <si>
    <t>6. FEES AND STORAGE</t>
  </si>
  <si>
    <t>AGL freight discount vs market (memo $)</t>
  </si>
  <si>
    <t>Inbound placement fee per unit, FBA direct units ($)</t>
  </si>
  <si>
    <t>Defaults to Rate Card; overwrite if quoted</t>
  </si>
  <si>
    <t>3PL / hub storage and handling total ($)</t>
  </si>
  <si>
    <t>7. DUTY AND TARIFF</t>
  </si>
  <si>
    <t>Zero if DDP</t>
  </si>
  <si>
    <t>Shared cost pool (freight, origin, destination, hub, other)</t>
  </si>
  <si>
    <t>SHIPMENT COST COMPARISON</t>
  </si>
  <si>
    <t>SCENARIO 3 - THIRD-PARTY FREIGHT QUOTE</t>
  </si>
  <si>
    <t>Output only. Total cost to ship this shipment through the Amazon AGL path and Scenarios 1-3. No product profitability here.</t>
  </si>
  <si>
    <t>Shipment</t>
  </si>
  <si>
    <t>TOTAL</t>
  </si>
  <si>
    <t>Line</t>
  </si>
  <si>
    <t>Amazon: AGL &gt; AWD</t>
  </si>
  <si>
    <t>Scenario 1</t>
  </si>
  <si>
    <t>Scenario 2</t>
  </si>
  <si>
    <t>Scenario 3</t>
  </si>
  <si>
    <t>Carrier / forwarder</t>
  </si>
  <si>
    <t>Duty is calculated on customs value (unit COGS x units). Unallocated units must be 0. Columns U:AA are helper calculations.</t>
  </si>
  <si>
    <t>COST LINES (total $ for the shipment)</t>
  </si>
  <si>
    <t>PRODUCT MASTER</t>
  </si>
  <si>
    <t>One row per product. Yellow = input. Carton, COGS and duty data are blank until confirmed - the shipment tabs read from here.</t>
  </si>
  <si>
    <t>SKU / ASIN</t>
  </si>
  <si>
    <t>Units per carton</t>
  </si>
  <si>
    <t>Carton L (cm)</t>
  </si>
  <si>
    <t>Carton W (cm)</t>
  </si>
  <si>
    <t>Carton H (cm)</t>
  </si>
  <si>
    <t>Carton gross kg</t>
  </si>
  <si>
    <t>CBM per carton</t>
  </si>
  <si>
    <t>Unit COGS ($, customs value)</t>
  </si>
  <si>
    <t>HTS code</t>
  </si>
  <si>
    <t>Base duty %</t>
  </si>
  <si>
    <t>Tariff % (301 etc.)</t>
  </si>
  <si>
    <t>Other tax %</t>
  </si>
  <si>
    <t>AWD inbound + processing $/unit</t>
  </si>
  <si>
    <t>AWD to FBA transfer $/unit</t>
  </si>
  <si>
    <t>Notes</t>
  </si>
  <si>
    <t>Unit 15.2 x 4.01 x 9.6 in, 2.75 lb</t>
  </si>
  <si>
    <t>Premium Food Mill</t>
  </si>
  <si>
    <t>Compact Food Mill</t>
  </si>
  <si>
    <t>RATE CARD (reference rates, not quotes)</t>
  </si>
  <si>
    <t>Canning Kit</t>
  </si>
  <si>
    <t>Freight and tariff costs come from the quote inputs on each scenario. This tab holds only Amazon fee references. Every rate needs a source and a verified date.</t>
  </si>
  <si>
    <t>Rate</t>
  </si>
  <si>
    <t>Value</t>
  </si>
  <si>
    <t>Source / how to verify</t>
  </si>
  <si>
    <t>Date verified</t>
  </si>
  <si>
    <t>Status</t>
  </si>
  <si>
    <t>Inbound placement fee, $/unit (FBA direct, avg)</t>
  </si>
  <si>
    <t>Seller Central &gt; Reports &gt; Payments; range $0.27-$1.58/unit. Seed is the doc example.</t>
  </si>
  <si>
    <t>TOTAL LANDED COST</t>
  </si>
  <si>
    <t>AWD storage, $/CBM/month</t>
  </si>
  <si>
    <t>Seller Central &gt; AWD fee schedule</t>
  </si>
  <si>
    <t>Air volumetric factor, kg per CBM</t>
  </si>
  <si>
    <t>Standard 6000 cm3/kg = 167 kg/CBM; confirm with carrier</t>
  </si>
  <si>
    <t>AGL discount vs market (reference, %)</t>
  </si>
  <si>
    <t>Victoria Step 1, Q2. Informational only.</t>
  </si>
  <si>
    <t>Difference vs Amazon path ($)</t>
  </si>
  <si>
    <t>AWD UK vs SSD Logistix (reference)</t>
  </si>
  <si>
    <t>Victoria Step 1, Q7</t>
  </si>
  <si>
    <t>Difference vs Amazon path (%)</t>
  </si>
  <si>
    <t>AWD / channel inbound rules (notes)</t>
  </si>
  <si>
    <t>Placement fee waived when inventory goes through AWD (confirm in Step 1, Q1).</t>
  </si>
  <si>
    <t>AGL discount applies only to Amazon-bound volume; ask AGL for the minimum volume and mixed-load rules.</t>
  </si>
  <si>
    <t>WFS and FBT direct inbound requirements: Step 1, Q4 and Q5.</t>
  </si>
  <si>
    <t>Cheapest (incl. capital if switched on)</t>
  </si>
  <si>
    <t>AWD fee seeds are the Sept 2026 figures from the 2027 Logistics Strategy doc - VERIFY, rates change.</t>
  </si>
  <si>
    <t>Fastest (days to sellable)</t>
  </si>
  <si>
    <t>SHIPMENT LOG</t>
  </si>
  <si>
    <t>After deciding, copy Comparison totals (Comparison B28:E28) and paste values here so the history survives the next shipment.</t>
  </si>
  <si>
    <t>COST PER UNIT BY DESTINATION</t>
  </si>
  <si>
    <t>Amazon</t>
  </si>
  <si>
    <t>Shipment / PO</t>
  </si>
  <si>
    <t>Products</t>
  </si>
  <si>
    <t>Amazon total</t>
  </si>
  <si>
    <t>Scenario 1 total</t>
  </si>
  <si>
    <t>Scenario 2 total</t>
  </si>
  <si>
    <t>Scenario 3 total</t>
  </si>
  <si>
    <t>Chosen path</t>
  </si>
  <si>
    <t>Chosen total</t>
  </si>
  <si>
    <t>Saving vs Amazon</t>
  </si>
  <si>
    <t>Reason / notes</t>
  </si>
  <si>
    <t>CHECKS</t>
  </si>
  <si>
    <t>Fix anything marked CHECK, EXPIRED or VERIFY before relying on the Comparison.</t>
  </si>
  <si>
    <t>Check</t>
  </si>
  <si>
    <t>What to do</t>
  </si>
  <si>
    <t>Products and units entered</t>
  </si>
  <si>
    <t>Shipment Setup: pick products, enter units</t>
  </si>
  <si>
    <t>Every unit is assigned to a destination</t>
  </si>
  <si>
    <t>Shipment Setup: Unallocated units must be 0</t>
  </si>
  <si>
    <t>Carton CBM and kg known for all products</t>
  </si>
  <si>
    <t>Products tab: carton size and kg</t>
  </si>
  <si>
    <t>Unit COGS known for all products (needed for duty)</t>
  </si>
  <si>
    <t>Products tab: unit COGS</t>
  </si>
  <si>
    <t>Rate Card verified within 60 days</t>
  </si>
  <si>
    <t>Rate Card: update the date verified</t>
  </si>
  <si>
    <t>Amazon Path (AGL): quote entered</t>
  </si>
  <si>
    <t>Enter the quote on that tab</t>
  </si>
  <si>
    <t>Amazon Path (AGL): quote still valid at shipment date</t>
  </si>
  <si>
    <t>COST PER UNIT BY PRODUCT</t>
  </si>
  <si>
    <t>Enter valid-until date or refresh the quote</t>
  </si>
  <si>
    <t>Amazon Path (AGL): totals reconcile (by destination and product)</t>
  </si>
  <si>
    <t>A cost is assigned to a destination with no units</t>
  </si>
  <si>
    <t>Scenario 1: quote entered</t>
  </si>
  <si>
    <t>Scenario 1: Incoterm and mode selected</t>
  </si>
  <si>
    <t>Pick Incoterm and mode</t>
  </si>
  <si>
    <t>Scenario 1: quote still valid at shipment date</t>
  </si>
  <si>
    <t>Scenario 1: totals reconcile (by destination and product)</t>
  </si>
  <si>
    <t>Scenario 2: quote entered</t>
  </si>
  <si>
    <t>Scenario 2: Incoterm and mode selected</t>
  </si>
  <si>
    <t>Scenario 2: quote still valid at shipment date</t>
  </si>
  <si>
    <t>Scenario 2: totals reconcile (by destination and product)</t>
  </si>
  <si>
    <t>Scenario 3: quote entered</t>
  </si>
  <si>
    <t>Scenario 3: Incoterm and mode selected</t>
  </si>
  <si>
    <t>Scenario 3: quote still valid at shipment date</t>
  </si>
  <si>
    <t>Scenario 3: totals reconcile (by destination and product)</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</si>
</sst>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m/dd/yyyy"/>
    <numFmt numFmtId="165" formatCode="$#,##0.00"/>
    <numFmt numFmtId="166" formatCode="0.0%"/>
    <numFmt numFmtId="167" formatCode="0.0000"/>
    <numFmt numFmtId="168" formatCode="0.000"/>
  </numFmts>
  <fonts count="10">
    <font>
      <sz val="10.0"/>
      <color rgb="FF000000"/>
      <name val="Arial"/>
      <scheme val="minor"/>
    </font>
    <font>
      <b/>
      <sz val="15.0"/>
      <color rgb="FF495450"/>
      <name val="Georgia"/>
    </font>
    <font>
      <sz val="10.0"/>
      <color rgb="FF333333"/>
      <name val="Calibri"/>
    </font>
    <font>
      <i/>
      <sz val="9.0"/>
      <color rgb="FFD15334"/>
      <name val="Calibri"/>
    </font>
    <font>
      <b/>
      <sz val="11.0"/>
      <color rgb="FFFFFFFF"/>
      <name val="Calibri"/>
    </font>
    <font>
      <b/>
      <sz val="10.0"/>
      <color rgb="FF333333"/>
      <name val="Calibri"/>
    </font>
    <font>
      <sz val="10.0"/>
      <color rgb="FF0000BF"/>
      <name val="Calibri"/>
    </font>
    <font>
      <i/>
      <sz val="9.0"/>
      <color rgb="FF6E6E6E"/>
      <name val="Calibri"/>
    </font>
    <font>
      <b/>
      <sz val="10.0"/>
      <color rgb="FFFFFFFF"/>
      <name val="Calibri"/>
    </font>
    <font>
      <b/>
      <sz val="10.0"/>
      <color rgb="FF495450"/>
      <name val="Calibri"/>
    </font>
  </fonts>
  <fills count="7">
    <fill>
      <patternFill patternType="none"/>
    </fill>
    <fill>
      <patternFill patternType="lightGray"/>
    </fill>
    <fill>
      <patternFill patternType="solid">
        <fgColor rgb="FF495450"/>
        <bgColor rgb="FF495450"/>
      </patternFill>
    </fill>
    <fill>
      <patternFill patternType="solid">
        <fgColor rgb="FFF7F6F2"/>
        <bgColor rgb="FFF7F6F2"/>
      </patternFill>
    </fill>
    <fill>
      <patternFill patternType="solid">
        <fgColor rgb="FFFFF2CC"/>
        <bgColor rgb="FFFFF2CC"/>
      </patternFill>
    </fill>
    <fill>
      <patternFill patternType="solid">
        <fgColor rgb="FFD0CABC"/>
        <bgColor rgb="FFD0CABC"/>
      </patternFill>
    </fill>
    <fill>
      <patternFill patternType="solid">
        <fgColor rgb="FFF1EFE9"/>
        <bgColor rgb="FFF1EFE9"/>
      </patternFill>
    </fill>
  </fills>
  <borders count="2">
    <border/>
    <border>
      <left style="thin">
        <color rgb="FFCCC7BD"/>
      </left>
      <right style="thin">
        <color rgb="FFCCC7BD"/>
      </right>
      <top style="thin">
        <color rgb="FFCCC7BD"/>
      </top>
      <bottom style="thin">
        <color rgb="FFCCC7BD"/>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0" fillId="0" fontId="1" numFmtId="0" xfId="0" applyAlignment="1" applyFont="1">
      <alignment shrinkToFit="0" vertical="center" wrapText="0"/>
    </xf>
    <xf borderId="0" fillId="0" fontId="2" numFmtId="0" xfId="0" applyAlignment="1" applyFont="1">
      <alignment shrinkToFit="0" vertical="center" wrapText="1"/>
    </xf>
    <xf borderId="0" fillId="0" fontId="3" numFmtId="0" xfId="0" applyAlignment="1" applyFont="1">
      <alignment shrinkToFit="0" vertical="center" wrapText="1"/>
    </xf>
    <xf borderId="0" fillId="2" fontId="4" numFmtId="0" xfId="0" applyAlignment="1" applyFill="1" applyFont="1">
      <alignment shrinkToFit="0" vertical="center" wrapText="0"/>
    </xf>
    <xf borderId="0" fillId="3" fontId="5" numFmtId="0" xfId="0" applyAlignment="1" applyFill="1" applyFont="1">
      <alignment shrinkToFit="0" vertical="center" wrapText="1"/>
    </xf>
    <xf borderId="0" fillId="3" fontId="2" numFmtId="0" xfId="0" applyAlignment="1" applyFill="1" applyFont="1">
      <alignment shrinkToFit="0" vertical="center" wrapText="1"/>
    </xf>
    <xf borderId="1" fillId="4" fontId="6" numFmtId="0" xfId="0" applyAlignment="1" applyBorder="1" applyFill="1" applyFont="1">
      <alignment shrinkToFit="0" vertical="center" wrapText="1"/>
    </xf>
    <xf borderId="0" fillId="3" fontId="2" numFmtId="0" xfId="0" applyAlignment="1" applyFill="1" applyFont="1">
      <alignment horizontal="center" shrinkToFit="0" vertical="center" wrapText="1"/>
    </xf>
    <xf borderId="0" fillId="3" fontId="7" numFmtId="0" xfId="0" applyAlignment="1" applyFill="1" applyFont="1">
      <alignment shrinkToFit="0" vertical="center" wrapText="1"/>
    </xf>
    <xf borderId="1" fillId="4" fontId="6" numFmtId="164" xfId="0" applyAlignment="1" applyBorder="1" applyFill="1" applyFont="1" applyNumberFormat="1">
      <alignment shrinkToFit="0" vertical="center" wrapText="1"/>
    </xf>
    <xf borderId="0" fillId="3" fontId="2" numFmtId="165" xfId="0" applyAlignment="1" applyFill="1" applyFont="1" applyNumberFormat="1">
      <alignment horizontal="center" shrinkToFit="0" vertical="center" wrapText="1"/>
    </xf>
    <xf borderId="1" fillId="4" fontId="6" numFmtId="166" xfId="0" applyAlignment="1" applyBorder="1" applyFill="1" applyFont="1" applyNumberFormat="1">
      <alignment shrinkToFit="0" vertical="center" wrapText="1"/>
    </xf>
    <xf borderId="1" fillId="4" fontId="6" numFmtId="0" xfId="0" applyAlignment="1" applyBorder="1" applyFill="1" applyFont="1">
      <alignment horizontal="center" shrinkToFit="0" vertical="center" wrapText="1"/>
    </xf>
    <xf borderId="1" fillId="4" fontId="6" numFmtId="3" xfId="0" applyAlignment="1" applyBorder="1" applyFill="1" applyFont="1" applyNumberFormat="1">
      <alignment shrinkToFit="0" vertical="center" wrapText="1"/>
    </xf>
    <xf borderId="0" fillId="2" fontId="8" numFmtId="0" xfId="0" applyAlignment="1" applyFill="1" applyFont="1">
      <alignment horizontal="center" shrinkToFit="0" vertical="center" wrapText="1"/>
    </xf>
    <xf borderId="0" fillId="5" fontId="5" numFmtId="0" xfId="0" applyAlignment="1" applyFill="1" applyFont="1">
      <alignment shrinkToFit="0" vertical="center" wrapText="1"/>
    </xf>
    <xf borderId="1" fillId="4" fontId="6" numFmtId="165" xfId="0" applyAlignment="1" applyBorder="1" applyFill="1" applyFont="1" applyNumberFormat="1">
      <alignment shrinkToFit="0" vertical="center" wrapText="1"/>
    </xf>
    <xf borderId="1" fillId="4" fontId="6" numFmtId="0" xfId="0" applyAlignment="1" applyBorder="1" applyFill="1" applyFont="1">
      <alignment readingOrder="0" shrinkToFit="0" vertical="center" wrapText="1"/>
    </xf>
    <xf borderId="1" fillId="4" fontId="6" numFmtId="3" xfId="0" applyAlignment="1" applyBorder="1" applyFill="1" applyFont="1" applyNumberFormat="1">
      <alignment readingOrder="0" shrinkToFit="0" vertical="center" wrapText="1"/>
    </xf>
    <xf borderId="0" fillId="3" fontId="2" numFmtId="3" xfId="0" applyAlignment="1" applyFill="1" applyFont="1" applyNumberFormat="1">
      <alignment horizontal="center" shrinkToFit="0" vertical="center" wrapText="1"/>
    </xf>
    <xf borderId="0" fillId="3" fontId="9" numFmtId="0" xfId="0" applyAlignment="1" applyFill="1" applyFont="1">
      <alignment shrinkToFit="0" vertical="center" wrapText="1"/>
    </xf>
    <xf borderId="0" fillId="3" fontId="2" numFmtId="167" xfId="0" applyAlignment="1" applyFill="1" applyFont="1" applyNumberFormat="1">
      <alignment horizontal="center" shrinkToFit="0" vertical="center" wrapText="1"/>
    </xf>
    <xf borderId="0" fillId="6" fontId="5" numFmtId="165" xfId="0" applyAlignment="1" applyFill="1" applyFont="1" applyNumberFormat="1">
      <alignment horizontal="center" shrinkToFit="0" vertical="center" wrapText="1"/>
    </xf>
    <xf borderId="0" fillId="3" fontId="2" numFmtId="4" xfId="0" applyAlignment="1" applyFill="1" applyFont="1" applyNumberFormat="1">
      <alignment horizontal="center" shrinkToFit="0" vertical="center" wrapText="1"/>
    </xf>
    <xf borderId="0" fillId="3" fontId="2" numFmtId="166" xfId="0" applyAlignment="1" applyFill="1" applyFont="1" applyNumberFormat="1">
      <alignment horizontal="center" shrinkToFit="0" vertical="center" wrapText="1"/>
    </xf>
    <xf borderId="0" fillId="3" fontId="2" numFmtId="168" xfId="0" applyAlignment="1" applyFill="1" applyFont="1" applyNumberFormat="1">
      <alignment horizontal="center" shrinkToFit="0" vertical="center" wrapText="1"/>
    </xf>
    <xf borderId="1" fillId="4" fontId="6" numFmtId="4" xfId="0" applyAlignment="1" applyBorder="1" applyFill="1" applyFont="1" applyNumberFormat="1">
      <alignment shrinkToFit="0" vertical="center" wrapText="1"/>
    </xf>
    <xf borderId="0" fillId="6" fontId="5" numFmtId="3" xfId="0" applyAlignment="1" applyFill="1" applyFont="1" applyNumberFormat="1">
      <alignment horizontal="center" shrinkToFit="0" vertical="center" wrapText="1"/>
    </xf>
    <xf borderId="0" fillId="6" fontId="5" numFmtId="4" xfId="0" applyAlignment="1" applyFill="1" applyFont="1" applyNumberFormat="1">
      <alignment horizontal="center" shrinkToFit="0" vertical="center" wrapText="1"/>
    </xf>
    <xf borderId="0" fillId="6" fontId="5" numFmtId="166" xfId="0" applyAlignment="1" applyFill="1" applyFont="1" applyNumberFormat="1">
      <alignment horizontal="center" shrinkToFit="0" vertical="center" wrapText="1"/>
    </xf>
    <xf borderId="0" fillId="3" fontId="2" numFmtId="164" xfId="0" applyAlignment="1" applyFill="1" applyFont="1" applyNumberFormat="1">
      <alignment horizontal="center" shrinkToFit="0" vertical="center" wrapText="1"/>
    </xf>
    <xf borderId="0" fillId="6" fontId="5" numFmtId="0" xfId="0" applyAlignment="1" applyFill="1" applyFont="1">
      <alignment horizontal="center" shrinkToFit="0" vertical="center" wrapText="1"/>
    </xf>
  </cellXfs>
  <cellStyles count="1">
    <cellStyle xfId="0" name="Normal" builtinId="0"/>
  </cellStyles>
  <dxfs count="5">
    <dxf>
      <font>
        <color rgb="FF969696"/>
      </font>
      <fill>
        <patternFill patternType="solid">
          <fgColor rgb="FFE8E8E8"/>
          <bgColor rgb="FFE8E8E8"/>
        </patternFill>
      </fill>
      <border/>
    </dxf>
    <dxf>
      <font>
        <b/>
        <color rgb="FFB31A1A"/>
      </font>
      <fill>
        <patternFill patternType="solid">
          <fgColor rgb="FFFAD9D4"/>
          <bgColor rgb="FFFAD9D4"/>
        </patternFill>
      </fill>
      <border/>
    </dxf>
    <dxf>
      <font>
        <b/>
        <color rgb="FF997300"/>
      </font>
      <fill>
        <patternFill patternType="solid">
          <fgColor rgb="FFFFF2BF"/>
          <bgColor rgb="FFFFF2BF"/>
        </patternFill>
      </fill>
      <border/>
    </dxf>
    <dxf>
      <font>
        <b/>
        <color rgb="FF1A7333"/>
      </font>
      <fill>
        <patternFill patternType="solid">
          <fgColor rgb="FFD9F0D9"/>
          <bgColor rgb="FFD9F0D9"/>
        </patternFill>
      </fill>
      <border/>
    </dxf>
    <dxf>
      <font>
        <b/>
        <color rgb="FF6E6E6E"/>
      </font>
      <fill>
        <patternFill patternType="solid">
          <fgColor rgb="FFEDEDED"/>
          <bgColor rgb="FFEDEDED"/>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95450"/>
    <outlinePr summaryBelow="0" summaryRight="0"/>
  </sheetPr>
  <sheetViews>
    <sheetView showGridLines="0" workbookViewId="0"/>
  </sheetViews>
  <sheetFormatPr customHeight="1" defaultColWidth="12.63" defaultRowHeight="15.75" outlineLevelCol="1"/>
  <cols>
    <col customWidth="1" min="1" max="1" width="20.13"/>
    <col customWidth="1" min="2" max="2" width="87.63"/>
  </cols>
  <sheetData>
    <row r="1">
      <c r="A1" s="1" t="s">
        <v>0</v>
      </c>
      <c r="B1" s="2"/>
    </row>
    <row r="2">
      <c r="A2" s="3" t="s">
        <v>3</v>
      </c>
      <c r="B2" s="2"/>
    </row>
    <row r="3">
      <c r="A3" s="2"/>
      <c r="B3" s="2"/>
    </row>
    <row r="4">
      <c r="A4" s="4" t="s">
        <v>4</v>
      </c>
      <c r="B4" s="4"/>
    </row>
    <row r="5">
      <c r="A5" s="5" t="s">
        <v>7</v>
      </c>
      <c r="B5" s="6" t="s">
        <v>10</v>
      </c>
    </row>
    <row r="6">
      <c r="A6" s="5" t="s">
        <v>12</v>
      </c>
      <c r="B6" s="6" t="s">
        <v>13</v>
      </c>
    </row>
    <row r="7">
      <c r="A7" s="5" t="s">
        <v>14</v>
      </c>
      <c r="B7" s="6" t="s">
        <v>15</v>
      </c>
    </row>
    <row r="8">
      <c r="A8" s="5" t="s">
        <v>16</v>
      </c>
      <c r="B8" s="6" t="s">
        <v>17</v>
      </c>
    </row>
    <row r="9">
      <c r="A9" s="5" t="s">
        <v>18</v>
      </c>
      <c r="B9" s="6" t="s">
        <v>19</v>
      </c>
    </row>
    <row r="10">
      <c r="A10" s="5" t="s">
        <v>20</v>
      </c>
      <c r="B10" s="6" t="s">
        <v>21</v>
      </c>
    </row>
    <row r="11">
      <c r="A11" s="2"/>
      <c r="B11" s="2"/>
    </row>
    <row r="12">
      <c r="A12" s="4" t="s">
        <v>22</v>
      </c>
      <c r="B12" s="4"/>
    </row>
    <row r="13">
      <c r="A13" s="7" t="s">
        <v>23</v>
      </c>
      <c r="B13" s="6" t="s">
        <v>27</v>
      </c>
    </row>
    <row r="14">
      <c r="A14" s="8" t="s">
        <v>28</v>
      </c>
      <c r="B14" s="6" t="s">
        <v>29</v>
      </c>
    </row>
    <row r="15">
      <c r="A15" s="2" t="s">
        <v>30</v>
      </c>
      <c r="B15" s="6" t="s">
        <v>31</v>
      </c>
    </row>
    <row r="16">
      <c r="A16" s="2"/>
      <c r="B16" s="2"/>
    </row>
    <row r="17">
      <c r="A17" s="4" t="s">
        <v>32</v>
      </c>
      <c r="B17" s="4"/>
    </row>
    <row r="18">
      <c r="A18" s="9" t="s">
        <v>33</v>
      </c>
      <c r="B18" s="2"/>
    </row>
    <row r="19">
      <c r="A19" s="9" t="s">
        <v>35</v>
      </c>
      <c r="B19" s="2"/>
    </row>
    <row r="20">
      <c r="A20" s="9" t="s">
        <v>36</v>
      </c>
      <c r="B20" s="2"/>
    </row>
    <row r="21">
      <c r="A21" s="9" t="s">
        <v>37</v>
      </c>
      <c r="B21" s="2"/>
    </row>
    <row r="22">
      <c r="A22" s="9" t="s">
        <v>38</v>
      </c>
      <c r="B22"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15334"/>
    <outlinePr summaryBelow="0" summaryRight="0"/>
  </sheetPr>
  <sheetViews>
    <sheetView showGridLines="0" workbookViewId="0">
      <pane xSplit="1.0" topLeftCell="B1" activePane="topRight" state="frozen"/>
      <selection activeCell="C2" sqref="C2" pane="topRight"/>
    </sheetView>
  </sheetViews>
  <sheetFormatPr customHeight="1" defaultColWidth="12.63" defaultRowHeight="15.75" outlineLevelCol="1"/>
  <cols>
    <col customWidth="1" min="1" max="1" width="25.13"/>
    <col customWidth="1" min="2" max="3" width="10.13"/>
    <col customWidth="1" min="4" max="4" width="8.88"/>
    <col customWidth="1" min="5" max="8" width="10.13"/>
    <col customWidth="1" min="9" max="10" width="11.38"/>
    <col customWidth="1" min="11" max="11" width="10.13"/>
    <col customWidth="1" min="12" max="14" width="8.88"/>
    <col customWidth="1" min="15" max="15" width="11.38"/>
    <col customWidth="1" min="16" max="20" width="8.88"/>
    <col customWidth="1" min="21" max="23" width="8.88" outlineLevel="1"/>
    <col customWidth="1" min="24" max="24" width="10.13" outlineLevel="1"/>
    <col customWidth="1" min="25" max="25" width="8.88" outlineLevel="1"/>
    <col customWidth="1" min="26" max="27" width="11.38" outlineLevel="1"/>
  </cols>
  <sheetData>
    <row r="1">
      <c r="A1" s="1" t="s">
        <v>1</v>
      </c>
      <c r="B1" s="2"/>
      <c r="C1" s="2"/>
      <c r="D1" s="2"/>
      <c r="E1" s="2"/>
      <c r="F1" s="2"/>
      <c r="G1" s="2"/>
      <c r="H1" s="2"/>
      <c r="I1" s="2"/>
      <c r="J1" s="2"/>
      <c r="K1" s="2"/>
      <c r="L1" s="2"/>
      <c r="M1" s="2"/>
      <c r="N1" s="2"/>
      <c r="O1" s="2"/>
      <c r="P1" s="2"/>
      <c r="Q1" s="2"/>
      <c r="R1" s="2"/>
      <c r="S1" s="2"/>
      <c r="T1" s="2"/>
      <c r="U1" s="2"/>
      <c r="V1" s="2"/>
      <c r="W1" s="2"/>
      <c r="X1" s="2"/>
      <c r="Y1" s="2"/>
      <c r="Z1" s="2"/>
      <c r="AA1" s="2"/>
    </row>
    <row r="2">
      <c r="A2" s="3" t="s">
        <v>9</v>
      </c>
      <c r="B2" s="2"/>
      <c r="C2" s="2"/>
      <c r="D2" s="2"/>
      <c r="E2" s="2"/>
      <c r="F2" s="2"/>
      <c r="G2" s="2"/>
      <c r="H2" s="2"/>
      <c r="I2" s="2"/>
      <c r="J2" s="2"/>
      <c r="K2" s="2"/>
      <c r="L2" s="2"/>
      <c r="M2" s="2"/>
      <c r="N2" s="2"/>
      <c r="O2" s="2"/>
      <c r="P2" s="2"/>
      <c r="Q2" s="2"/>
      <c r="R2" s="2"/>
      <c r="S2" s="2"/>
      <c r="T2" s="2"/>
      <c r="U2" s="2"/>
      <c r="V2" s="2"/>
      <c r="W2" s="2"/>
      <c r="X2" s="2"/>
      <c r="Y2" s="2"/>
      <c r="Z2" s="2"/>
      <c r="AA2" s="2"/>
    </row>
    <row r="3">
      <c r="A3" s="2"/>
      <c r="B3" s="2"/>
      <c r="C3" s="2"/>
      <c r="D3" s="2"/>
      <c r="E3" s="2"/>
      <c r="F3" s="2"/>
      <c r="G3" s="2"/>
      <c r="H3" s="2"/>
      <c r="I3" s="2"/>
      <c r="J3" s="2"/>
      <c r="K3" s="2"/>
      <c r="L3" s="2"/>
      <c r="M3" s="2"/>
      <c r="N3" s="2"/>
      <c r="O3" s="2"/>
      <c r="P3" s="2"/>
      <c r="Q3" s="2"/>
      <c r="R3" s="2"/>
      <c r="S3" s="2"/>
      <c r="T3" s="2"/>
      <c r="U3" s="2"/>
      <c r="V3" s="2"/>
      <c r="W3" s="2"/>
      <c r="X3" s="2"/>
      <c r="Y3" s="2"/>
      <c r="Z3" s="2"/>
      <c r="AA3" s="2"/>
    </row>
    <row r="4">
      <c r="A4" s="4" t="s">
        <v>24</v>
      </c>
      <c r="B4" s="4"/>
      <c r="C4" s="4"/>
      <c r="D4" s="2"/>
      <c r="E4" s="2"/>
      <c r="F4" s="2"/>
      <c r="G4" s="2"/>
      <c r="H4" s="2"/>
      <c r="I4" s="2"/>
      <c r="J4" s="2"/>
      <c r="K4" s="2"/>
      <c r="L4" s="2"/>
      <c r="M4" s="2"/>
      <c r="N4" s="2"/>
      <c r="O4" s="2"/>
      <c r="P4" s="2"/>
      <c r="Q4" s="2"/>
      <c r="R4" s="2"/>
      <c r="S4" s="2"/>
      <c r="T4" s="2"/>
      <c r="U4" s="2"/>
      <c r="V4" s="2"/>
      <c r="W4" s="2"/>
      <c r="X4" s="2"/>
      <c r="Y4" s="2"/>
      <c r="Z4" s="2"/>
      <c r="AA4" s="2"/>
    </row>
    <row r="5">
      <c r="A5" s="6" t="s">
        <v>26</v>
      </c>
      <c r="B5" s="7"/>
      <c r="C5" s="2"/>
      <c r="D5" s="2"/>
      <c r="E5" s="2"/>
      <c r="F5" s="2"/>
      <c r="G5" s="2"/>
      <c r="H5" s="2"/>
      <c r="I5" s="2"/>
      <c r="J5" s="2"/>
      <c r="K5" s="2"/>
      <c r="L5" s="2"/>
      <c r="M5" s="2"/>
      <c r="N5" s="2"/>
      <c r="O5" s="2"/>
      <c r="P5" s="2"/>
      <c r="Q5" s="2"/>
      <c r="R5" s="2"/>
      <c r="S5" s="2"/>
      <c r="T5" s="2"/>
      <c r="U5" s="2"/>
      <c r="V5" s="2"/>
      <c r="W5" s="2"/>
      <c r="X5" s="2"/>
      <c r="Y5" s="2"/>
      <c r="Z5" s="2"/>
      <c r="AA5" s="2"/>
    </row>
    <row r="6">
      <c r="A6" s="6" t="s">
        <v>34</v>
      </c>
      <c r="B6" s="10"/>
      <c r="C6" s="2"/>
      <c r="D6" s="2"/>
      <c r="E6" s="2"/>
      <c r="F6" s="2"/>
      <c r="G6" s="2"/>
      <c r="H6" s="2"/>
      <c r="I6" s="2"/>
      <c r="J6" s="2"/>
      <c r="K6" s="2"/>
      <c r="L6" s="2"/>
      <c r="M6" s="2"/>
      <c r="N6" s="2"/>
      <c r="O6" s="2"/>
      <c r="P6" s="2"/>
      <c r="Q6" s="2"/>
      <c r="R6" s="2"/>
      <c r="S6" s="2"/>
      <c r="T6" s="2"/>
      <c r="U6" s="2"/>
      <c r="V6" s="2"/>
      <c r="W6" s="2"/>
      <c r="X6" s="2"/>
      <c r="Y6" s="2"/>
      <c r="Z6" s="2"/>
      <c r="AA6" s="2"/>
    </row>
    <row r="7">
      <c r="A7" s="6" t="s">
        <v>39</v>
      </c>
      <c r="B7" s="7" t="s">
        <v>40</v>
      </c>
      <c r="C7" s="9" t="s">
        <v>41</v>
      </c>
      <c r="D7" s="2"/>
      <c r="E7" s="2"/>
      <c r="F7" s="2"/>
      <c r="G7" s="2"/>
      <c r="H7" s="2"/>
      <c r="I7" s="2"/>
      <c r="J7" s="2"/>
      <c r="K7" s="2"/>
      <c r="L7" s="2"/>
      <c r="M7" s="2"/>
      <c r="N7" s="2"/>
      <c r="O7" s="2"/>
      <c r="P7" s="2"/>
      <c r="Q7" s="2"/>
      <c r="R7" s="2"/>
      <c r="S7" s="2"/>
      <c r="T7" s="2"/>
      <c r="U7" s="2"/>
      <c r="V7" s="2"/>
      <c r="W7" s="2"/>
      <c r="X7" s="2"/>
      <c r="Y7" s="2"/>
      <c r="Z7" s="2"/>
      <c r="AA7" s="2"/>
    </row>
    <row r="8">
      <c r="A8" s="6" t="s">
        <v>43</v>
      </c>
      <c r="B8" s="7" t="s">
        <v>45</v>
      </c>
      <c r="C8" s="2"/>
      <c r="D8" s="2"/>
      <c r="E8" s="2"/>
      <c r="F8" s="2"/>
      <c r="G8" s="2"/>
      <c r="H8" s="2"/>
      <c r="I8" s="2"/>
      <c r="J8" s="2"/>
      <c r="K8" s="2"/>
      <c r="L8" s="2"/>
      <c r="M8" s="2"/>
      <c r="N8" s="2"/>
      <c r="O8" s="2"/>
      <c r="P8" s="2"/>
      <c r="Q8" s="2"/>
      <c r="R8" s="2"/>
      <c r="S8" s="2"/>
      <c r="T8" s="2"/>
      <c r="U8" s="2"/>
      <c r="V8" s="2"/>
      <c r="W8" s="2"/>
      <c r="X8" s="2"/>
      <c r="Y8" s="2"/>
      <c r="Z8" s="2"/>
      <c r="AA8" s="2"/>
    </row>
    <row r="9">
      <c r="A9" s="6" t="s">
        <v>47</v>
      </c>
      <c r="B9" s="12">
        <v>0.1</v>
      </c>
      <c r="C9" s="2"/>
      <c r="D9" s="2"/>
      <c r="E9" s="2"/>
      <c r="F9" s="2"/>
      <c r="G9" s="2"/>
      <c r="H9" s="2"/>
      <c r="I9" s="2"/>
      <c r="J9" s="2"/>
      <c r="K9" s="2"/>
      <c r="L9" s="2"/>
      <c r="M9" s="2"/>
      <c r="N9" s="2"/>
      <c r="O9" s="2"/>
      <c r="P9" s="2"/>
      <c r="Q9" s="2"/>
      <c r="R9" s="2"/>
      <c r="S9" s="2"/>
      <c r="T9" s="2"/>
      <c r="U9" s="2"/>
      <c r="V9" s="2"/>
      <c r="W9" s="2"/>
      <c r="X9" s="2"/>
      <c r="Y9" s="2"/>
      <c r="Z9" s="2"/>
      <c r="AA9" s="2"/>
    </row>
    <row r="10">
      <c r="A10" s="6" t="s">
        <v>52</v>
      </c>
      <c r="B10" s="7"/>
      <c r="C10" s="2"/>
      <c r="D10" s="2"/>
      <c r="E10" s="2"/>
      <c r="F10" s="2"/>
      <c r="G10" s="2"/>
      <c r="H10" s="2"/>
      <c r="I10" s="2"/>
      <c r="J10" s="2"/>
      <c r="K10" s="2"/>
      <c r="L10" s="2"/>
      <c r="M10" s="2"/>
      <c r="N10" s="2"/>
      <c r="O10" s="2"/>
      <c r="P10" s="2"/>
      <c r="Q10" s="2"/>
      <c r="R10" s="2"/>
      <c r="S10" s="2"/>
      <c r="T10" s="2"/>
      <c r="U10" s="2"/>
      <c r="V10" s="2"/>
      <c r="W10" s="2"/>
      <c r="X10" s="2"/>
      <c r="Y10" s="2"/>
      <c r="Z10" s="2"/>
      <c r="AA10" s="2"/>
    </row>
    <row r="11">
      <c r="A11" s="2"/>
      <c r="B11" s="2"/>
      <c r="C11" s="2"/>
      <c r="D11" s="2"/>
      <c r="E11" s="2"/>
      <c r="F11" s="2"/>
      <c r="G11" s="2"/>
      <c r="H11" s="2"/>
      <c r="I11" s="2"/>
      <c r="J11" s="2"/>
      <c r="K11" s="2"/>
      <c r="L11" s="2"/>
      <c r="M11" s="2"/>
      <c r="N11" s="2"/>
      <c r="O11" s="2"/>
      <c r="P11" s="2"/>
      <c r="Q11" s="2"/>
      <c r="R11" s="2"/>
      <c r="S11" s="2"/>
      <c r="T11" s="2"/>
      <c r="U11" s="2"/>
      <c r="V11" s="2"/>
      <c r="W11" s="2"/>
      <c r="X11" s="2"/>
      <c r="Y11" s="2"/>
      <c r="Z11" s="2"/>
      <c r="AA11" s="2"/>
    </row>
    <row r="12">
      <c r="A12" s="4" t="s">
        <v>55</v>
      </c>
      <c r="B12" s="4"/>
      <c r="C12" s="4"/>
      <c r="D12" s="4"/>
      <c r="E12" s="4"/>
      <c r="F12" s="4"/>
      <c r="G12" s="4"/>
      <c r="H12" s="4"/>
      <c r="I12" s="4"/>
      <c r="J12" s="4"/>
      <c r="K12" s="4"/>
      <c r="L12" s="4"/>
      <c r="M12" s="4"/>
      <c r="N12" s="4"/>
      <c r="O12" s="4"/>
      <c r="P12" s="4"/>
      <c r="Q12" s="4"/>
      <c r="R12" s="4"/>
      <c r="S12" s="4"/>
      <c r="T12" s="4"/>
      <c r="U12" s="2"/>
      <c r="V12" s="2"/>
      <c r="W12" s="2"/>
      <c r="X12" s="2"/>
      <c r="Y12" s="2"/>
      <c r="Z12" s="2"/>
      <c r="AA12" s="2"/>
    </row>
    <row r="13" ht="36.0" customHeight="1">
      <c r="A13" s="15" t="s">
        <v>59</v>
      </c>
      <c r="B13" s="15" t="s">
        <v>60</v>
      </c>
      <c r="C13" s="15" t="s">
        <v>61</v>
      </c>
      <c r="D13" s="15" t="s">
        <v>62</v>
      </c>
      <c r="E13" s="15" t="s">
        <v>63</v>
      </c>
      <c r="F13" s="15" t="s">
        <v>64</v>
      </c>
      <c r="G13" s="15" t="s">
        <v>65</v>
      </c>
      <c r="H13" s="15" t="s">
        <v>66</v>
      </c>
      <c r="I13" s="15" t="s">
        <v>67</v>
      </c>
      <c r="J13" s="15" t="s">
        <v>68</v>
      </c>
      <c r="K13" s="15" t="s">
        <v>70</v>
      </c>
      <c r="L13" s="15" t="s">
        <v>71</v>
      </c>
      <c r="M13" s="15" t="s">
        <v>72</v>
      </c>
      <c r="N13" s="15" t="s">
        <v>73</v>
      </c>
      <c r="O13" s="15" t="s">
        <v>74</v>
      </c>
      <c r="P13" s="15" t="s">
        <v>75</v>
      </c>
      <c r="Q13" s="15" t="s">
        <v>76</v>
      </c>
      <c r="R13" s="15" t="s">
        <v>77</v>
      </c>
      <c r="S13" s="15" t="s">
        <v>78</v>
      </c>
      <c r="T13" s="15" t="s">
        <v>79</v>
      </c>
      <c r="U13" s="16" t="s">
        <v>81</v>
      </c>
      <c r="V13" s="16" t="s">
        <v>83</v>
      </c>
      <c r="W13" s="16" t="s">
        <v>85</v>
      </c>
      <c r="X13" s="16" t="s">
        <v>86</v>
      </c>
      <c r="Y13" s="16" t="s">
        <v>87</v>
      </c>
      <c r="Z13" s="16" t="s">
        <v>88</v>
      </c>
      <c r="AA13" s="16" t="s">
        <v>89</v>
      </c>
    </row>
    <row r="14">
      <c r="A14" s="18" t="s">
        <v>100</v>
      </c>
      <c r="B14" s="19">
        <v>1000.0</v>
      </c>
      <c r="C14" s="20" t="str">
        <f>IFERROR(VLOOKUP($A14,Products!$A$5:$O$34,3,FALSE),0)</f>
        <v/>
      </c>
      <c r="D14" s="20">
        <f t="shared" ref="D14:D23" si="1">IF(AND(N($B14)&gt;0,N($C14)&gt;0),ROUNDUP($B14/$C14,0),0)</f>
        <v>0</v>
      </c>
      <c r="E14" s="22">
        <f>IFERROR(VLOOKUP($A14,Products!$A$5:$O$34,8,FALSE),0)</f>
        <v>0</v>
      </c>
      <c r="F14" s="24">
        <f t="shared" ref="F14:F23" si="2">D14*E14</f>
        <v>0</v>
      </c>
      <c r="G14" s="24" t="str">
        <f>IFERROR(VLOOKUP($A14,Products!$A$5:$O$34,7,FALSE),0)</f>
        <v/>
      </c>
      <c r="H14" s="20">
        <f t="shared" ref="H14:H23" si="3">D14*G14</f>
        <v>0</v>
      </c>
      <c r="I14" s="11" t="str">
        <f>IFERROR(VLOOKUP($A14,Products!$A$5:$O$34,9,FALSE),0)</f>
        <v/>
      </c>
      <c r="J14" s="11">
        <f t="shared" ref="J14:J23" si="4">N(B14)*I14</f>
        <v>0</v>
      </c>
      <c r="K14" s="8" t="str">
        <f>IFERROR(VLOOKUP($A14,Products!$A$5:$O$34,10,FALSE)&amp;"","")</f>
        <v/>
      </c>
      <c r="L14" s="25" t="str">
        <f>IFERROR(VLOOKUP($A14,Products!$A$5:$O$34,11,FALSE),0)</f>
        <v/>
      </c>
      <c r="M14" s="25" t="str">
        <f>IFERROR(VLOOKUP($A14,Products!$A$5:$O$34,12,FALSE),0)</f>
        <v/>
      </c>
      <c r="N14" s="25" t="str">
        <f>IFERROR(VLOOKUP($A14,Products!$A$5:$O$34,13,FALSE),0)</f>
        <v/>
      </c>
      <c r="O14" s="11">
        <f t="shared" ref="O14:O23" si="5">J14*(L14+M14+N14)</f>
        <v>0</v>
      </c>
      <c r="P14" s="19">
        <v>500.0</v>
      </c>
      <c r="Q14" s="19">
        <v>250.0</v>
      </c>
      <c r="R14" s="19">
        <v>100.0</v>
      </c>
      <c r="S14" s="19">
        <v>150.0</v>
      </c>
      <c r="T14" s="20">
        <f t="shared" ref="T14:T23" si="6">N(B14)-SUM(P14:S14)</f>
        <v>0</v>
      </c>
      <c r="U14" s="22">
        <f t="shared" ref="U14:U23" si="7">IF(N(B14)&gt;0,F14/B14,0)</f>
        <v>0</v>
      </c>
      <c r="V14" s="26">
        <f t="shared" ref="V14:V23" si="8">IF(N(B14)&gt;0,H14/B14,0)</f>
        <v>0</v>
      </c>
      <c r="W14" s="11">
        <f t="shared" ref="W14:W23" si="9">IF(N(B14)&gt;0,O14/B14,0)</f>
        <v>0</v>
      </c>
      <c r="X14" s="22">
        <f t="shared" ref="X14:X23" si="10">IF($B$7="Weight",V14,U14)</f>
        <v>0</v>
      </c>
      <c r="Y14" s="25">
        <f t="shared" ref="Y14:Y23" si="11">IF(SUMPRODUCT($B$14:$B$23,$X$14:$X$23)=0,0,N(B14)*X14/SUMPRODUCT($B$14:$B$23,$X$14:$X$23))</f>
        <v>0</v>
      </c>
      <c r="Z14" s="11">
        <f>IFERROR(VLOOKUP($A14,Products!$A$5:$O$34,14,FALSE),0)</f>
        <v>0.23</v>
      </c>
      <c r="AA14" s="11">
        <f>IFERROR(VLOOKUP($A14,Products!$A$5:$O$34,15,FALSE),0)</f>
        <v>0.4</v>
      </c>
    </row>
    <row r="15">
      <c r="A15" s="7"/>
      <c r="B15" s="14"/>
      <c r="C15" s="20">
        <f>IFERROR(VLOOKUP($A15,Products!$A$5:$O$34,3,FALSE),0)</f>
        <v>0</v>
      </c>
      <c r="D15" s="20">
        <f t="shared" si="1"/>
        <v>0</v>
      </c>
      <c r="E15" s="22">
        <f>IFERROR(VLOOKUP($A15,Products!$A$5:$O$34,8,FALSE),0)</f>
        <v>0</v>
      </c>
      <c r="F15" s="24">
        <f t="shared" si="2"/>
        <v>0</v>
      </c>
      <c r="G15" s="24">
        <f>IFERROR(VLOOKUP($A15,Products!$A$5:$O$34,7,FALSE),0)</f>
        <v>0</v>
      </c>
      <c r="H15" s="20">
        <f t="shared" si="3"/>
        <v>0</v>
      </c>
      <c r="I15" s="11">
        <f>IFERROR(VLOOKUP($A15,Products!$A$5:$O$34,9,FALSE),0)</f>
        <v>0</v>
      </c>
      <c r="J15" s="11">
        <f t="shared" si="4"/>
        <v>0</v>
      </c>
      <c r="K15" s="8" t="str">
        <f>IFERROR(VLOOKUP($A15,Products!$A$5:$O$34,10,FALSE)&amp;"","")</f>
        <v/>
      </c>
      <c r="L15" s="25">
        <f>IFERROR(VLOOKUP($A15,Products!$A$5:$O$34,11,FALSE),0)</f>
        <v>0</v>
      </c>
      <c r="M15" s="25">
        <f>IFERROR(VLOOKUP($A15,Products!$A$5:$O$34,12,FALSE),0)</f>
        <v>0</v>
      </c>
      <c r="N15" s="25">
        <f>IFERROR(VLOOKUP($A15,Products!$A$5:$O$34,13,FALSE),0)</f>
        <v>0</v>
      </c>
      <c r="O15" s="11">
        <f t="shared" si="5"/>
        <v>0</v>
      </c>
      <c r="P15" s="14"/>
      <c r="Q15" s="14"/>
      <c r="R15" s="14"/>
      <c r="S15" s="14"/>
      <c r="T15" s="20">
        <f t="shared" si="6"/>
        <v>0</v>
      </c>
      <c r="U15" s="22">
        <f t="shared" si="7"/>
        <v>0</v>
      </c>
      <c r="V15" s="26">
        <f t="shared" si="8"/>
        <v>0</v>
      </c>
      <c r="W15" s="11">
        <f t="shared" si="9"/>
        <v>0</v>
      </c>
      <c r="X15" s="22">
        <f t="shared" si="10"/>
        <v>0</v>
      </c>
      <c r="Y15" s="25">
        <f t="shared" si="11"/>
        <v>0</v>
      </c>
      <c r="Z15" s="11">
        <f>IFERROR(VLOOKUP($A15,Products!$A$5:$O$34,14,FALSE),0)</f>
        <v>0</v>
      </c>
      <c r="AA15" s="11">
        <f>IFERROR(VLOOKUP($A15,Products!$A$5:$O$34,15,FALSE),0)</f>
        <v>0</v>
      </c>
    </row>
    <row r="16">
      <c r="A16" s="7"/>
      <c r="B16" s="14"/>
      <c r="C16" s="20">
        <f>IFERROR(VLOOKUP($A16,Products!$A$5:$O$34,3,FALSE),0)</f>
        <v>0</v>
      </c>
      <c r="D16" s="20">
        <f t="shared" si="1"/>
        <v>0</v>
      </c>
      <c r="E16" s="22">
        <f>IFERROR(VLOOKUP($A16,Products!$A$5:$O$34,8,FALSE),0)</f>
        <v>0</v>
      </c>
      <c r="F16" s="24">
        <f t="shared" si="2"/>
        <v>0</v>
      </c>
      <c r="G16" s="24">
        <f>IFERROR(VLOOKUP($A16,Products!$A$5:$O$34,7,FALSE),0)</f>
        <v>0</v>
      </c>
      <c r="H16" s="20">
        <f t="shared" si="3"/>
        <v>0</v>
      </c>
      <c r="I16" s="11">
        <f>IFERROR(VLOOKUP($A16,Products!$A$5:$O$34,9,FALSE),0)</f>
        <v>0</v>
      </c>
      <c r="J16" s="11">
        <f t="shared" si="4"/>
        <v>0</v>
      </c>
      <c r="K16" s="8" t="str">
        <f>IFERROR(VLOOKUP($A16,Products!$A$5:$O$34,10,FALSE)&amp;"","")</f>
        <v/>
      </c>
      <c r="L16" s="25">
        <f>IFERROR(VLOOKUP($A16,Products!$A$5:$O$34,11,FALSE),0)</f>
        <v>0</v>
      </c>
      <c r="M16" s="25">
        <f>IFERROR(VLOOKUP($A16,Products!$A$5:$O$34,12,FALSE),0)</f>
        <v>0</v>
      </c>
      <c r="N16" s="25">
        <f>IFERROR(VLOOKUP($A16,Products!$A$5:$O$34,13,FALSE),0)</f>
        <v>0</v>
      </c>
      <c r="O16" s="11">
        <f t="shared" si="5"/>
        <v>0</v>
      </c>
      <c r="P16" s="14"/>
      <c r="Q16" s="14"/>
      <c r="R16" s="14"/>
      <c r="S16" s="14"/>
      <c r="T16" s="20">
        <f t="shared" si="6"/>
        <v>0</v>
      </c>
      <c r="U16" s="22">
        <f t="shared" si="7"/>
        <v>0</v>
      </c>
      <c r="V16" s="26">
        <f t="shared" si="8"/>
        <v>0</v>
      </c>
      <c r="W16" s="11">
        <f t="shared" si="9"/>
        <v>0</v>
      </c>
      <c r="X16" s="22">
        <f t="shared" si="10"/>
        <v>0</v>
      </c>
      <c r="Y16" s="25">
        <f t="shared" si="11"/>
        <v>0</v>
      </c>
      <c r="Z16" s="11">
        <f>IFERROR(VLOOKUP($A16,Products!$A$5:$O$34,14,FALSE),0)</f>
        <v>0</v>
      </c>
      <c r="AA16" s="11">
        <f>IFERROR(VLOOKUP($A16,Products!$A$5:$O$34,15,FALSE),0)</f>
        <v>0</v>
      </c>
    </row>
    <row r="17">
      <c r="A17" s="7"/>
      <c r="B17" s="14"/>
      <c r="C17" s="20">
        <f>IFERROR(VLOOKUP($A17,Products!$A$5:$O$34,3,FALSE),0)</f>
        <v>0</v>
      </c>
      <c r="D17" s="20">
        <f t="shared" si="1"/>
        <v>0</v>
      </c>
      <c r="E17" s="22">
        <f>IFERROR(VLOOKUP($A17,Products!$A$5:$O$34,8,FALSE),0)</f>
        <v>0</v>
      </c>
      <c r="F17" s="24">
        <f t="shared" si="2"/>
        <v>0</v>
      </c>
      <c r="G17" s="24">
        <f>IFERROR(VLOOKUP($A17,Products!$A$5:$O$34,7,FALSE),0)</f>
        <v>0</v>
      </c>
      <c r="H17" s="20">
        <f t="shared" si="3"/>
        <v>0</v>
      </c>
      <c r="I17" s="11">
        <f>IFERROR(VLOOKUP($A17,Products!$A$5:$O$34,9,FALSE),0)</f>
        <v>0</v>
      </c>
      <c r="J17" s="11">
        <f t="shared" si="4"/>
        <v>0</v>
      </c>
      <c r="K17" s="8" t="str">
        <f>IFERROR(VLOOKUP($A17,Products!$A$5:$O$34,10,FALSE)&amp;"","")</f>
        <v/>
      </c>
      <c r="L17" s="25">
        <f>IFERROR(VLOOKUP($A17,Products!$A$5:$O$34,11,FALSE),0)</f>
        <v>0</v>
      </c>
      <c r="M17" s="25">
        <f>IFERROR(VLOOKUP($A17,Products!$A$5:$O$34,12,FALSE),0)</f>
        <v>0</v>
      </c>
      <c r="N17" s="25">
        <f>IFERROR(VLOOKUP($A17,Products!$A$5:$O$34,13,FALSE),0)</f>
        <v>0</v>
      </c>
      <c r="O17" s="11">
        <f t="shared" si="5"/>
        <v>0</v>
      </c>
      <c r="P17" s="14"/>
      <c r="Q17" s="14"/>
      <c r="R17" s="14"/>
      <c r="S17" s="14"/>
      <c r="T17" s="20">
        <f t="shared" si="6"/>
        <v>0</v>
      </c>
      <c r="U17" s="22">
        <f t="shared" si="7"/>
        <v>0</v>
      </c>
      <c r="V17" s="26">
        <f t="shared" si="8"/>
        <v>0</v>
      </c>
      <c r="W17" s="11">
        <f t="shared" si="9"/>
        <v>0</v>
      </c>
      <c r="X17" s="22">
        <f t="shared" si="10"/>
        <v>0</v>
      </c>
      <c r="Y17" s="25">
        <f t="shared" si="11"/>
        <v>0</v>
      </c>
      <c r="Z17" s="11">
        <f>IFERROR(VLOOKUP($A17,Products!$A$5:$O$34,14,FALSE),0)</f>
        <v>0</v>
      </c>
      <c r="AA17" s="11">
        <f>IFERROR(VLOOKUP($A17,Products!$A$5:$O$34,15,FALSE),0)</f>
        <v>0</v>
      </c>
    </row>
    <row r="18">
      <c r="A18" s="7"/>
      <c r="B18" s="14"/>
      <c r="C18" s="20">
        <f>IFERROR(VLOOKUP($A18,Products!$A$5:$O$34,3,FALSE),0)</f>
        <v>0</v>
      </c>
      <c r="D18" s="20">
        <f t="shared" si="1"/>
        <v>0</v>
      </c>
      <c r="E18" s="22">
        <f>IFERROR(VLOOKUP($A18,Products!$A$5:$O$34,8,FALSE),0)</f>
        <v>0</v>
      </c>
      <c r="F18" s="24">
        <f t="shared" si="2"/>
        <v>0</v>
      </c>
      <c r="G18" s="24">
        <f>IFERROR(VLOOKUP($A18,Products!$A$5:$O$34,7,FALSE),0)</f>
        <v>0</v>
      </c>
      <c r="H18" s="20">
        <f t="shared" si="3"/>
        <v>0</v>
      </c>
      <c r="I18" s="11">
        <f>IFERROR(VLOOKUP($A18,Products!$A$5:$O$34,9,FALSE),0)</f>
        <v>0</v>
      </c>
      <c r="J18" s="11">
        <f t="shared" si="4"/>
        <v>0</v>
      </c>
      <c r="K18" s="8" t="str">
        <f>IFERROR(VLOOKUP($A18,Products!$A$5:$O$34,10,FALSE)&amp;"","")</f>
        <v/>
      </c>
      <c r="L18" s="25">
        <f>IFERROR(VLOOKUP($A18,Products!$A$5:$O$34,11,FALSE),0)</f>
        <v>0</v>
      </c>
      <c r="M18" s="25">
        <f>IFERROR(VLOOKUP($A18,Products!$A$5:$O$34,12,FALSE),0)</f>
        <v>0</v>
      </c>
      <c r="N18" s="25">
        <f>IFERROR(VLOOKUP($A18,Products!$A$5:$O$34,13,FALSE),0)</f>
        <v>0</v>
      </c>
      <c r="O18" s="11">
        <f t="shared" si="5"/>
        <v>0</v>
      </c>
      <c r="P18" s="14"/>
      <c r="Q18" s="14"/>
      <c r="R18" s="14"/>
      <c r="S18" s="14"/>
      <c r="T18" s="20">
        <f t="shared" si="6"/>
        <v>0</v>
      </c>
      <c r="U18" s="22">
        <f t="shared" si="7"/>
        <v>0</v>
      </c>
      <c r="V18" s="26">
        <f t="shared" si="8"/>
        <v>0</v>
      </c>
      <c r="W18" s="11">
        <f t="shared" si="9"/>
        <v>0</v>
      </c>
      <c r="X18" s="22">
        <f t="shared" si="10"/>
        <v>0</v>
      </c>
      <c r="Y18" s="25">
        <f t="shared" si="11"/>
        <v>0</v>
      </c>
      <c r="Z18" s="11">
        <f>IFERROR(VLOOKUP($A18,Products!$A$5:$O$34,14,FALSE),0)</f>
        <v>0</v>
      </c>
      <c r="AA18" s="11">
        <f>IFERROR(VLOOKUP($A18,Products!$A$5:$O$34,15,FALSE),0)</f>
        <v>0</v>
      </c>
    </row>
    <row r="19">
      <c r="A19" s="7"/>
      <c r="B19" s="14"/>
      <c r="C19" s="20">
        <f>IFERROR(VLOOKUP($A19,Products!$A$5:$O$34,3,FALSE),0)</f>
        <v>0</v>
      </c>
      <c r="D19" s="20">
        <f t="shared" si="1"/>
        <v>0</v>
      </c>
      <c r="E19" s="22">
        <f>IFERROR(VLOOKUP($A19,Products!$A$5:$O$34,8,FALSE),0)</f>
        <v>0</v>
      </c>
      <c r="F19" s="24">
        <f t="shared" si="2"/>
        <v>0</v>
      </c>
      <c r="G19" s="24">
        <f>IFERROR(VLOOKUP($A19,Products!$A$5:$O$34,7,FALSE),0)</f>
        <v>0</v>
      </c>
      <c r="H19" s="20">
        <f t="shared" si="3"/>
        <v>0</v>
      </c>
      <c r="I19" s="11">
        <f>IFERROR(VLOOKUP($A19,Products!$A$5:$O$34,9,FALSE),0)</f>
        <v>0</v>
      </c>
      <c r="J19" s="11">
        <f t="shared" si="4"/>
        <v>0</v>
      </c>
      <c r="K19" s="8" t="str">
        <f>IFERROR(VLOOKUP($A19,Products!$A$5:$O$34,10,FALSE)&amp;"","")</f>
        <v/>
      </c>
      <c r="L19" s="25">
        <f>IFERROR(VLOOKUP($A19,Products!$A$5:$O$34,11,FALSE),0)</f>
        <v>0</v>
      </c>
      <c r="M19" s="25">
        <f>IFERROR(VLOOKUP($A19,Products!$A$5:$O$34,12,FALSE),0)</f>
        <v>0</v>
      </c>
      <c r="N19" s="25">
        <f>IFERROR(VLOOKUP($A19,Products!$A$5:$O$34,13,FALSE),0)</f>
        <v>0</v>
      </c>
      <c r="O19" s="11">
        <f t="shared" si="5"/>
        <v>0</v>
      </c>
      <c r="P19" s="14"/>
      <c r="Q19" s="14"/>
      <c r="R19" s="14"/>
      <c r="S19" s="14"/>
      <c r="T19" s="20">
        <f t="shared" si="6"/>
        <v>0</v>
      </c>
      <c r="U19" s="22">
        <f t="shared" si="7"/>
        <v>0</v>
      </c>
      <c r="V19" s="26">
        <f t="shared" si="8"/>
        <v>0</v>
      </c>
      <c r="W19" s="11">
        <f t="shared" si="9"/>
        <v>0</v>
      </c>
      <c r="X19" s="22">
        <f t="shared" si="10"/>
        <v>0</v>
      </c>
      <c r="Y19" s="25">
        <f t="shared" si="11"/>
        <v>0</v>
      </c>
      <c r="Z19" s="11">
        <f>IFERROR(VLOOKUP($A19,Products!$A$5:$O$34,14,FALSE),0)</f>
        <v>0</v>
      </c>
      <c r="AA19" s="11">
        <f>IFERROR(VLOOKUP($A19,Products!$A$5:$O$34,15,FALSE),0)</f>
        <v>0</v>
      </c>
    </row>
    <row r="20">
      <c r="A20" s="7"/>
      <c r="B20" s="14"/>
      <c r="C20" s="20">
        <f>IFERROR(VLOOKUP($A20,Products!$A$5:$O$34,3,FALSE),0)</f>
        <v>0</v>
      </c>
      <c r="D20" s="20">
        <f t="shared" si="1"/>
        <v>0</v>
      </c>
      <c r="E20" s="22">
        <f>IFERROR(VLOOKUP($A20,Products!$A$5:$O$34,8,FALSE),0)</f>
        <v>0</v>
      </c>
      <c r="F20" s="24">
        <f t="shared" si="2"/>
        <v>0</v>
      </c>
      <c r="G20" s="24">
        <f>IFERROR(VLOOKUP($A20,Products!$A$5:$O$34,7,FALSE),0)</f>
        <v>0</v>
      </c>
      <c r="H20" s="20">
        <f t="shared" si="3"/>
        <v>0</v>
      </c>
      <c r="I20" s="11">
        <f>IFERROR(VLOOKUP($A20,Products!$A$5:$O$34,9,FALSE),0)</f>
        <v>0</v>
      </c>
      <c r="J20" s="11">
        <f t="shared" si="4"/>
        <v>0</v>
      </c>
      <c r="K20" s="8" t="str">
        <f>IFERROR(VLOOKUP($A20,Products!$A$5:$O$34,10,FALSE)&amp;"","")</f>
        <v/>
      </c>
      <c r="L20" s="25">
        <f>IFERROR(VLOOKUP($A20,Products!$A$5:$O$34,11,FALSE),0)</f>
        <v>0</v>
      </c>
      <c r="M20" s="25">
        <f>IFERROR(VLOOKUP($A20,Products!$A$5:$O$34,12,FALSE),0)</f>
        <v>0</v>
      </c>
      <c r="N20" s="25">
        <f>IFERROR(VLOOKUP($A20,Products!$A$5:$O$34,13,FALSE),0)</f>
        <v>0</v>
      </c>
      <c r="O20" s="11">
        <f t="shared" si="5"/>
        <v>0</v>
      </c>
      <c r="P20" s="14"/>
      <c r="Q20" s="14"/>
      <c r="R20" s="14"/>
      <c r="S20" s="14"/>
      <c r="T20" s="20">
        <f t="shared" si="6"/>
        <v>0</v>
      </c>
      <c r="U20" s="22">
        <f t="shared" si="7"/>
        <v>0</v>
      </c>
      <c r="V20" s="26">
        <f t="shared" si="8"/>
        <v>0</v>
      </c>
      <c r="W20" s="11">
        <f t="shared" si="9"/>
        <v>0</v>
      </c>
      <c r="X20" s="22">
        <f t="shared" si="10"/>
        <v>0</v>
      </c>
      <c r="Y20" s="25">
        <f t="shared" si="11"/>
        <v>0</v>
      </c>
      <c r="Z20" s="11">
        <f>IFERROR(VLOOKUP($A20,Products!$A$5:$O$34,14,FALSE),0)</f>
        <v>0</v>
      </c>
      <c r="AA20" s="11">
        <f>IFERROR(VLOOKUP($A20,Products!$A$5:$O$34,15,FALSE),0)</f>
        <v>0</v>
      </c>
    </row>
    <row r="21">
      <c r="A21" s="7"/>
      <c r="B21" s="14"/>
      <c r="C21" s="20">
        <f>IFERROR(VLOOKUP($A21,Products!$A$5:$O$34,3,FALSE),0)</f>
        <v>0</v>
      </c>
      <c r="D21" s="20">
        <f t="shared" si="1"/>
        <v>0</v>
      </c>
      <c r="E21" s="22">
        <f>IFERROR(VLOOKUP($A21,Products!$A$5:$O$34,8,FALSE),0)</f>
        <v>0</v>
      </c>
      <c r="F21" s="24">
        <f t="shared" si="2"/>
        <v>0</v>
      </c>
      <c r="G21" s="24">
        <f>IFERROR(VLOOKUP($A21,Products!$A$5:$O$34,7,FALSE),0)</f>
        <v>0</v>
      </c>
      <c r="H21" s="20">
        <f t="shared" si="3"/>
        <v>0</v>
      </c>
      <c r="I21" s="11">
        <f>IFERROR(VLOOKUP($A21,Products!$A$5:$O$34,9,FALSE),0)</f>
        <v>0</v>
      </c>
      <c r="J21" s="11">
        <f t="shared" si="4"/>
        <v>0</v>
      </c>
      <c r="K21" s="8" t="str">
        <f>IFERROR(VLOOKUP($A21,Products!$A$5:$O$34,10,FALSE)&amp;"","")</f>
        <v/>
      </c>
      <c r="L21" s="25">
        <f>IFERROR(VLOOKUP($A21,Products!$A$5:$O$34,11,FALSE),0)</f>
        <v>0</v>
      </c>
      <c r="M21" s="25">
        <f>IFERROR(VLOOKUP($A21,Products!$A$5:$O$34,12,FALSE),0)</f>
        <v>0</v>
      </c>
      <c r="N21" s="25">
        <f>IFERROR(VLOOKUP($A21,Products!$A$5:$O$34,13,FALSE),0)</f>
        <v>0</v>
      </c>
      <c r="O21" s="11">
        <f t="shared" si="5"/>
        <v>0</v>
      </c>
      <c r="P21" s="14"/>
      <c r="Q21" s="14"/>
      <c r="R21" s="14"/>
      <c r="S21" s="14"/>
      <c r="T21" s="20">
        <f t="shared" si="6"/>
        <v>0</v>
      </c>
      <c r="U21" s="22">
        <f t="shared" si="7"/>
        <v>0</v>
      </c>
      <c r="V21" s="26">
        <f t="shared" si="8"/>
        <v>0</v>
      </c>
      <c r="W21" s="11">
        <f t="shared" si="9"/>
        <v>0</v>
      </c>
      <c r="X21" s="22">
        <f t="shared" si="10"/>
        <v>0</v>
      </c>
      <c r="Y21" s="25">
        <f t="shared" si="11"/>
        <v>0</v>
      </c>
      <c r="Z21" s="11">
        <f>IFERROR(VLOOKUP($A21,Products!$A$5:$O$34,14,FALSE),0)</f>
        <v>0</v>
      </c>
      <c r="AA21" s="11">
        <f>IFERROR(VLOOKUP($A21,Products!$A$5:$O$34,15,FALSE),0)</f>
        <v>0</v>
      </c>
    </row>
    <row r="22">
      <c r="A22" s="7"/>
      <c r="B22" s="14"/>
      <c r="C22" s="20">
        <f>IFERROR(VLOOKUP($A22,Products!$A$5:$O$34,3,FALSE),0)</f>
        <v>0</v>
      </c>
      <c r="D22" s="20">
        <f t="shared" si="1"/>
        <v>0</v>
      </c>
      <c r="E22" s="22">
        <f>IFERROR(VLOOKUP($A22,Products!$A$5:$O$34,8,FALSE),0)</f>
        <v>0</v>
      </c>
      <c r="F22" s="24">
        <f t="shared" si="2"/>
        <v>0</v>
      </c>
      <c r="G22" s="24">
        <f>IFERROR(VLOOKUP($A22,Products!$A$5:$O$34,7,FALSE),0)</f>
        <v>0</v>
      </c>
      <c r="H22" s="20">
        <f t="shared" si="3"/>
        <v>0</v>
      </c>
      <c r="I22" s="11">
        <f>IFERROR(VLOOKUP($A22,Products!$A$5:$O$34,9,FALSE),0)</f>
        <v>0</v>
      </c>
      <c r="J22" s="11">
        <f t="shared" si="4"/>
        <v>0</v>
      </c>
      <c r="K22" s="8" t="str">
        <f>IFERROR(VLOOKUP($A22,Products!$A$5:$O$34,10,FALSE)&amp;"","")</f>
        <v/>
      </c>
      <c r="L22" s="25">
        <f>IFERROR(VLOOKUP($A22,Products!$A$5:$O$34,11,FALSE),0)</f>
        <v>0</v>
      </c>
      <c r="M22" s="25">
        <f>IFERROR(VLOOKUP($A22,Products!$A$5:$O$34,12,FALSE),0)</f>
        <v>0</v>
      </c>
      <c r="N22" s="25">
        <f>IFERROR(VLOOKUP($A22,Products!$A$5:$O$34,13,FALSE),0)</f>
        <v>0</v>
      </c>
      <c r="O22" s="11">
        <f t="shared" si="5"/>
        <v>0</v>
      </c>
      <c r="P22" s="14"/>
      <c r="Q22" s="14"/>
      <c r="R22" s="14"/>
      <c r="S22" s="14"/>
      <c r="T22" s="20">
        <f t="shared" si="6"/>
        <v>0</v>
      </c>
      <c r="U22" s="22">
        <f t="shared" si="7"/>
        <v>0</v>
      </c>
      <c r="V22" s="26">
        <f t="shared" si="8"/>
        <v>0</v>
      </c>
      <c r="W22" s="11">
        <f t="shared" si="9"/>
        <v>0</v>
      </c>
      <c r="X22" s="22">
        <f t="shared" si="10"/>
        <v>0</v>
      </c>
      <c r="Y22" s="25">
        <f t="shared" si="11"/>
        <v>0</v>
      </c>
      <c r="Z22" s="11">
        <f>IFERROR(VLOOKUP($A22,Products!$A$5:$O$34,14,FALSE),0)</f>
        <v>0</v>
      </c>
      <c r="AA22" s="11">
        <f>IFERROR(VLOOKUP($A22,Products!$A$5:$O$34,15,FALSE),0)</f>
        <v>0</v>
      </c>
    </row>
    <row r="23">
      <c r="A23" s="7"/>
      <c r="B23" s="14"/>
      <c r="C23" s="20">
        <f>IFERROR(VLOOKUP($A23,Products!$A$5:$O$34,3,FALSE),0)</f>
        <v>0</v>
      </c>
      <c r="D23" s="20">
        <f t="shared" si="1"/>
        <v>0</v>
      </c>
      <c r="E23" s="22">
        <f>IFERROR(VLOOKUP($A23,Products!$A$5:$O$34,8,FALSE),0)</f>
        <v>0</v>
      </c>
      <c r="F23" s="24">
        <f t="shared" si="2"/>
        <v>0</v>
      </c>
      <c r="G23" s="24">
        <f>IFERROR(VLOOKUP($A23,Products!$A$5:$O$34,7,FALSE),0)</f>
        <v>0</v>
      </c>
      <c r="H23" s="20">
        <f t="shared" si="3"/>
        <v>0</v>
      </c>
      <c r="I23" s="11">
        <f>IFERROR(VLOOKUP($A23,Products!$A$5:$O$34,9,FALSE),0)</f>
        <v>0</v>
      </c>
      <c r="J23" s="11">
        <f t="shared" si="4"/>
        <v>0</v>
      </c>
      <c r="K23" s="8" t="str">
        <f>IFERROR(VLOOKUP($A23,Products!$A$5:$O$34,10,FALSE)&amp;"","")</f>
        <v/>
      </c>
      <c r="L23" s="25">
        <f>IFERROR(VLOOKUP($A23,Products!$A$5:$O$34,11,FALSE),0)</f>
        <v>0</v>
      </c>
      <c r="M23" s="25">
        <f>IFERROR(VLOOKUP($A23,Products!$A$5:$O$34,12,FALSE),0)</f>
        <v>0</v>
      </c>
      <c r="N23" s="25">
        <f>IFERROR(VLOOKUP($A23,Products!$A$5:$O$34,13,FALSE),0)</f>
        <v>0</v>
      </c>
      <c r="O23" s="11">
        <f t="shared" si="5"/>
        <v>0</v>
      </c>
      <c r="P23" s="14"/>
      <c r="Q23" s="14"/>
      <c r="R23" s="14"/>
      <c r="S23" s="14"/>
      <c r="T23" s="20">
        <f t="shared" si="6"/>
        <v>0</v>
      </c>
      <c r="U23" s="22">
        <f t="shared" si="7"/>
        <v>0</v>
      </c>
      <c r="V23" s="26">
        <f t="shared" si="8"/>
        <v>0</v>
      </c>
      <c r="W23" s="11">
        <f t="shared" si="9"/>
        <v>0</v>
      </c>
      <c r="X23" s="22">
        <f t="shared" si="10"/>
        <v>0</v>
      </c>
      <c r="Y23" s="25">
        <f t="shared" si="11"/>
        <v>0</v>
      </c>
      <c r="Z23" s="11">
        <f>IFERROR(VLOOKUP($A23,Products!$A$5:$O$34,14,FALSE),0)</f>
        <v>0</v>
      </c>
      <c r="AA23" s="11">
        <f>IFERROR(VLOOKUP($A23,Products!$A$5:$O$34,15,FALSE),0)</f>
        <v>0</v>
      </c>
    </row>
    <row r="24">
      <c r="A24" s="21" t="s">
        <v>176</v>
      </c>
      <c r="B24" s="28">
        <f>SUM(B14:B23)</f>
        <v>1000</v>
      </c>
      <c r="C24" s="2"/>
      <c r="D24" s="28">
        <f>SUM(D14:D23)</f>
        <v>0</v>
      </c>
      <c r="E24" s="2"/>
      <c r="F24" s="29">
        <f>SUM(F14:F23)</f>
        <v>0</v>
      </c>
      <c r="G24" s="2"/>
      <c r="H24" s="28">
        <f>SUM(H14:H23)</f>
        <v>0</v>
      </c>
      <c r="I24" s="2"/>
      <c r="J24" s="23">
        <f>SUM(J14:J23)</f>
        <v>0</v>
      </c>
      <c r="K24" s="2"/>
      <c r="L24" s="2"/>
      <c r="M24" s="2"/>
      <c r="N24" s="2"/>
      <c r="O24" s="23">
        <f t="shared" ref="O24:T24" si="12">SUM(O14:O23)</f>
        <v>0</v>
      </c>
      <c r="P24" s="28">
        <f t="shared" si="12"/>
        <v>500</v>
      </c>
      <c r="Q24" s="28">
        <f t="shared" si="12"/>
        <v>250</v>
      </c>
      <c r="R24" s="28">
        <f t="shared" si="12"/>
        <v>100</v>
      </c>
      <c r="S24" s="28">
        <f t="shared" si="12"/>
        <v>150</v>
      </c>
      <c r="T24" s="28">
        <f t="shared" si="12"/>
        <v>0</v>
      </c>
      <c r="U24" s="2"/>
      <c r="V24" s="2"/>
      <c r="W24" s="2"/>
      <c r="X24" s="2"/>
      <c r="Y24" s="30">
        <f>SUM(Y14:Y23)</f>
        <v>0</v>
      </c>
      <c r="Z24" s="2"/>
      <c r="AA24" s="2"/>
    </row>
    <row r="25">
      <c r="A25" s="9" t="s">
        <v>183</v>
      </c>
      <c r="B25" s="2"/>
      <c r="C25" s="2"/>
      <c r="D25" s="2"/>
      <c r="E25" s="2"/>
      <c r="F25" s="2"/>
      <c r="G25" s="2"/>
      <c r="H25" s="2"/>
      <c r="I25" s="2"/>
      <c r="J25" s="2"/>
      <c r="K25" s="2"/>
      <c r="L25" s="2"/>
      <c r="M25" s="2"/>
      <c r="N25" s="2"/>
      <c r="O25" s="2"/>
      <c r="P25" s="2"/>
      <c r="Q25" s="2"/>
      <c r="R25" s="2"/>
      <c r="S25" s="2"/>
      <c r="T25" s="2"/>
      <c r="U25" s="2"/>
      <c r="V25" s="2"/>
      <c r="W25" s="2"/>
      <c r="X25" s="2"/>
      <c r="Y25" s="2"/>
      <c r="Z25" s="2"/>
      <c r="AA25" s="2"/>
    </row>
  </sheetData>
  <conditionalFormatting sqref="T14:T23">
    <cfRule type="expression" dxfId="1" priority="1" stopIfTrue="1">
      <formula>AND(A14&lt;&gt;"",T14&lt;&gt;0)</formula>
    </cfRule>
  </conditionalFormatting>
  <dataValidations>
    <dataValidation type="custom" allowBlank="1" showDropDown="1" sqref="B6">
      <formula1>OR(NOT(ISERROR(DATEVALUE(B6))), AND(ISNUMBER(B6), LEFT(CELL("format", B6))="D"))</formula1>
    </dataValidation>
    <dataValidation type="list" allowBlank="1" sqref="B7">
      <formula1>"CBM,Weight"</formula1>
    </dataValidation>
    <dataValidation type="list" allowBlank="1" sqref="A14:A23">
      <formula1>Products!$A$5:$A$34</formula1>
    </dataValidation>
    <dataValidation type="list" allowBlank="1" sqref="B8">
      <formula1>"Yes,No"</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95450"/>
    <outlinePr summaryBelow="0" summaryRight="0"/>
  </sheetPr>
  <sheetViews>
    <sheetView showGridLines="0" workbookViewId="0"/>
  </sheetViews>
  <sheetFormatPr customHeight="1" defaultColWidth="12.63" defaultRowHeight="15.75" outlineLevelCol="1"/>
  <cols>
    <col customWidth="1" min="1" max="1" width="35.13"/>
    <col customWidth="1" min="2" max="2" width="16.38"/>
    <col customWidth="1" min="3" max="3" width="33.88"/>
    <col customWidth="1" min="4" max="4" width="2.63"/>
    <col customWidth="1" min="5" max="5" width="37.63"/>
    <col customWidth="1" min="6" max="7" width="13.88"/>
    <col customWidth="1" min="8" max="8" width="12.63"/>
    <col customWidth="1" min="9" max="9" width="11.38"/>
    <col customWidth="1" min="10" max="10" width="12.63"/>
  </cols>
  <sheetData>
    <row r="1">
      <c r="A1" s="1" t="s">
        <v>2</v>
      </c>
      <c r="B1" s="2"/>
      <c r="C1" s="2"/>
      <c r="D1" s="2"/>
      <c r="E1" s="2"/>
      <c r="F1" s="2"/>
      <c r="G1" s="2"/>
      <c r="H1" s="2"/>
      <c r="I1" s="2"/>
      <c r="J1" s="2"/>
    </row>
    <row r="2">
      <c r="A2" s="3" t="s">
        <v>5</v>
      </c>
      <c r="B2" s="2"/>
      <c r="C2" s="2"/>
      <c r="D2" s="2"/>
      <c r="E2" s="2"/>
      <c r="F2" s="2"/>
      <c r="G2" s="2"/>
      <c r="H2" s="2"/>
      <c r="I2" s="2"/>
      <c r="J2" s="2"/>
    </row>
    <row r="3">
      <c r="A3" s="2"/>
      <c r="B3" s="2"/>
      <c r="C3" s="2"/>
      <c r="D3" s="2"/>
      <c r="E3" s="2"/>
      <c r="F3" s="2"/>
      <c r="G3" s="2"/>
      <c r="H3" s="2"/>
      <c r="I3" s="2"/>
      <c r="J3" s="2"/>
    </row>
    <row r="4">
      <c r="A4" s="4" t="s">
        <v>6</v>
      </c>
      <c r="B4" s="4"/>
      <c r="C4" s="4"/>
      <c r="D4" s="2"/>
      <c r="E4" s="4" t="s">
        <v>8</v>
      </c>
      <c r="F4" s="4"/>
      <c r="G4" s="4"/>
      <c r="H4" s="4"/>
      <c r="I4" s="2"/>
      <c r="J4" s="2"/>
    </row>
    <row r="5">
      <c r="A5" s="6" t="s">
        <v>11</v>
      </c>
      <c r="B5" s="7"/>
      <c r="C5" s="2"/>
      <c r="D5" s="2"/>
      <c r="E5" s="6" t="s">
        <v>25</v>
      </c>
      <c r="F5" s="11">
        <f>B17</f>
        <v>0</v>
      </c>
      <c r="G5" s="2"/>
      <c r="H5" s="2"/>
      <c r="I5" s="2"/>
      <c r="J5" s="2"/>
    </row>
    <row r="6">
      <c r="A6" s="6" t="s">
        <v>44</v>
      </c>
      <c r="B6" s="10"/>
      <c r="C6" s="2"/>
      <c r="D6" s="2"/>
      <c r="E6" s="6" t="s">
        <v>46</v>
      </c>
      <c r="F6" s="11">
        <f>N(B18)</f>
        <v>0</v>
      </c>
      <c r="G6" s="2"/>
      <c r="H6" s="2"/>
      <c r="I6" s="2"/>
      <c r="J6" s="2"/>
    </row>
    <row r="7">
      <c r="A7" s="6" t="s">
        <v>50</v>
      </c>
      <c r="B7" s="13"/>
      <c r="C7" s="9" t="s">
        <v>53</v>
      </c>
      <c r="D7" s="2"/>
      <c r="E7" s="6" t="s">
        <v>54</v>
      </c>
      <c r="F7" s="11">
        <f>N(B20)+N(B21)</f>
        <v>0</v>
      </c>
      <c r="G7" s="2"/>
      <c r="H7" s="2"/>
      <c r="I7" s="2"/>
      <c r="J7" s="2"/>
    </row>
    <row r="8">
      <c r="A8" s="6" t="s">
        <v>57</v>
      </c>
      <c r="B8" s="14"/>
      <c r="C8" s="2"/>
      <c r="D8" s="2"/>
      <c r="E8" s="6" t="s">
        <v>58</v>
      </c>
      <c r="F8" s="11">
        <f>IF(B7="",0,B22)</f>
        <v>0</v>
      </c>
      <c r="G8" s="2"/>
      <c r="H8" s="2"/>
      <c r="I8" s="2"/>
      <c r="J8" s="2"/>
    </row>
    <row r="9">
      <c r="A9" s="6" t="s">
        <v>82</v>
      </c>
      <c r="B9" s="14"/>
      <c r="C9" s="2"/>
      <c r="D9" s="2"/>
      <c r="E9" s="6" t="s">
        <v>84</v>
      </c>
      <c r="F9" s="11">
        <f>0</f>
        <v>0</v>
      </c>
      <c r="G9" s="2"/>
      <c r="H9" s="2"/>
      <c r="I9" s="2"/>
      <c r="J9" s="2"/>
    </row>
    <row r="10">
      <c r="A10" s="4" t="s">
        <v>90</v>
      </c>
      <c r="B10" s="4"/>
      <c r="C10" s="4"/>
      <c r="D10" s="2"/>
      <c r="E10" s="6" t="s">
        <v>91</v>
      </c>
      <c r="F10" s="11">
        <f>IF(B7="",0,B25)</f>
        <v>0</v>
      </c>
      <c r="G10" s="2"/>
      <c r="H10" s="2"/>
      <c r="I10" s="2"/>
      <c r="J10" s="2"/>
    </row>
    <row r="11">
      <c r="A11" s="6" t="s">
        <v>95</v>
      </c>
      <c r="B11" s="14"/>
      <c r="C11" s="2"/>
      <c r="D11" s="2"/>
      <c r="E11" s="6" t="s">
        <v>94</v>
      </c>
      <c r="F11" s="11">
        <f t="shared" ref="F11:F12" si="1">N(B28)</f>
        <v>0</v>
      </c>
      <c r="G11" s="2"/>
      <c r="H11" s="2"/>
      <c r="I11" s="2"/>
      <c r="J11" s="2"/>
    </row>
    <row r="12">
      <c r="A12" s="6" t="s">
        <v>97</v>
      </c>
      <c r="B12" s="17"/>
      <c r="C12" s="2"/>
      <c r="D12" s="2"/>
      <c r="E12" s="6" t="s">
        <v>99</v>
      </c>
      <c r="F12" s="11">
        <f t="shared" si="1"/>
        <v>0</v>
      </c>
      <c r="G12" s="2"/>
      <c r="H12" s="2"/>
      <c r="I12" s="2"/>
      <c r="J12" s="2"/>
    </row>
    <row r="13">
      <c r="A13" s="6" t="s">
        <v>101</v>
      </c>
      <c r="B13" s="17"/>
      <c r="C13" s="2"/>
      <c r="D13" s="2"/>
      <c r="E13" s="6" t="s">
        <v>102</v>
      </c>
      <c r="F13" s="11">
        <f>0</f>
        <v>0</v>
      </c>
      <c r="G13" s="9" t="s">
        <v>103</v>
      </c>
      <c r="H13" s="2"/>
      <c r="I13" s="2"/>
      <c r="J13" s="2"/>
    </row>
    <row r="14">
      <c r="A14" s="6" t="s">
        <v>104</v>
      </c>
      <c r="B14" s="17"/>
      <c r="C14" s="2"/>
      <c r="D14" s="2"/>
      <c r="E14" s="6" t="s">
        <v>105</v>
      </c>
      <c r="F14" s="11">
        <f>IF(B7="",0,B24+B27)</f>
        <v>0</v>
      </c>
      <c r="G14" s="2"/>
      <c r="H14" s="2"/>
      <c r="I14" s="2"/>
      <c r="J14" s="2"/>
    </row>
    <row r="15">
      <c r="A15" s="6" t="s">
        <v>108</v>
      </c>
      <c r="B15" s="17"/>
      <c r="C15" s="2"/>
      <c r="D15" s="2"/>
      <c r="E15" s="6" t="s">
        <v>109</v>
      </c>
      <c r="F15" s="11">
        <f>N(B30)</f>
        <v>0</v>
      </c>
      <c r="G15" s="2"/>
      <c r="H15" s="2"/>
      <c r="I15" s="2"/>
      <c r="J15" s="2"/>
    </row>
    <row r="16">
      <c r="A16" s="6" t="s">
        <v>110</v>
      </c>
      <c r="B16" s="20">
        <f>MAX('Shipment Setup'!H24,'Shipment Setup'!F24*'Rate Card'!B7)</f>
        <v>0</v>
      </c>
      <c r="C16" s="2"/>
      <c r="D16" s="2"/>
      <c r="E16" s="21" t="s">
        <v>111</v>
      </c>
      <c r="F16" s="23">
        <f>SUM(F5:F15)</f>
        <v>0</v>
      </c>
      <c r="G16" s="2"/>
      <c r="H16" s="2"/>
      <c r="I16" s="2"/>
      <c r="J16" s="2"/>
    </row>
    <row r="17">
      <c r="A17" s="6" t="s">
        <v>112</v>
      </c>
      <c r="B17" s="11">
        <f>IF(B7="FCL",N(B11)*N(B12),IF(B7="LCL",MAX(N(B14),'Shipment Setup'!F24*N(B13)),IF(B7="Air",B16*N(B15),0)))</f>
        <v>0</v>
      </c>
      <c r="C17" s="2"/>
      <c r="D17" s="2"/>
      <c r="E17" s="21" t="s">
        <v>113</v>
      </c>
      <c r="F17" s="23">
        <f>IF(N('Shipment Setup'!B24)&gt;0,F16/'Shipment Setup'!B24,0)</f>
        <v>0</v>
      </c>
      <c r="G17" s="2"/>
      <c r="H17" s="2"/>
      <c r="I17" s="2"/>
      <c r="J17" s="2"/>
    </row>
    <row r="18">
      <c r="A18" s="6" t="s">
        <v>117</v>
      </c>
      <c r="B18" s="17"/>
      <c r="C18" s="2"/>
      <c r="D18" s="2"/>
      <c r="E18" s="6" t="s">
        <v>114</v>
      </c>
      <c r="F18" s="20">
        <f>N(B8)+N(B9)</f>
        <v>0</v>
      </c>
      <c r="G18" s="2"/>
      <c r="H18" s="2"/>
      <c r="I18" s="2"/>
      <c r="J18" s="2"/>
    </row>
    <row r="19">
      <c r="A19" s="4" t="s">
        <v>119</v>
      </c>
      <c r="B19" s="4"/>
      <c r="C19" s="4"/>
      <c r="D19" s="2"/>
      <c r="E19" s="6" t="s">
        <v>116</v>
      </c>
      <c r="F19" s="11">
        <f>IF('Shipment Setup'!B8="Yes",F16*N('Shipment Setup'!B9)*F18/365,0)</f>
        <v>0</v>
      </c>
      <c r="G19" s="2"/>
      <c r="H19" s="2"/>
      <c r="I19" s="2"/>
      <c r="J19" s="2"/>
    </row>
    <row r="20">
      <c r="A20" s="6" t="s">
        <v>121</v>
      </c>
      <c r="B20" s="17"/>
      <c r="C20" s="2"/>
      <c r="D20" s="2"/>
      <c r="E20" s="6" t="s">
        <v>120</v>
      </c>
      <c r="F20" s="11">
        <f>F16+F19</f>
        <v>0</v>
      </c>
      <c r="G20" s="2"/>
      <c r="H20" s="2"/>
      <c r="I20" s="2"/>
      <c r="J20" s="2"/>
    </row>
    <row r="21">
      <c r="A21" s="6" t="s">
        <v>124</v>
      </c>
      <c r="B21" s="17"/>
      <c r="C21" s="2"/>
      <c r="D21" s="2"/>
      <c r="E21" s="6" t="s">
        <v>123</v>
      </c>
      <c r="F21" s="11">
        <f>IF(N('Shipment Setup'!B24)&gt;0,F20/'Shipment Setup'!B24,0)</f>
        <v>0</v>
      </c>
      <c r="G21" s="2"/>
      <c r="H21" s="2"/>
      <c r="I21" s="2"/>
      <c r="J21" s="2"/>
    </row>
    <row r="22">
      <c r="A22" s="6" t="s">
        <v>135</v>
      </c>
      <c r="B22" s="11">
        <f>'Shipment Setup'!O24</f>
        <v>0</v>
      </c>
      <c r="C22" s="2"/>
      <c r="D22" s="2"/>
      <c r="E22" s="2"/>
      <c r="F22" s="2"/>
      <c r="G22" s="2"/>
      <c r="H22" s="2"/>
      <c r="I22" s="2"/>
      <c r="J22" s="2"/>
    </row>
    <row r="23">
      <c r="A23" s="4" t="s">
        <v>137</v>
      </c>
      <c r="B23" s="4"/>
      <c r="C23" s="4"/>
      <c r="D23" s="2"/>
      <c r="E23" s="4" t="s">
        <v>127</v>
      </c>
      <c r="F23" s="4"/>
      <c r="G23" s="4"/>
      <c r="H23" s="4"/>
      <c r="I23" s="4"/>
      <c r="J23" s="4"/>
    </row>
    <row r="24">
      <c r="A24" s="6" t="s">
        <v>138</v>
      </c>
      <c r="B24" s="11">
        <f>SUMPRODUCT('Shipment Setup'!B14:B23,'Shipment Setup'!Z14:Z23)</f>
        <v>230</v>
      </c>
      <c r="C24" s="9" t="s">
        <v>139</v>
      </c>
      <c r="D24" s="2"/>
      <c r="E24" s="16" t="s">
        <v>129</v>
      </c>
      <c r="F24" s="16" t="s">
        <v>60</v>
      </c>
      <c r="G24" s="16" t="s">
        <v>130</v>
      </c>
      <c r="H24" s="16" t="s">
        <v>131</v>
      </c>
      <c r="I24" s="16" t="s">
        <v>132</v>
      </c>
      <c r="J24" s="16" t="s">
        <v>133</v>
      </c>
    </row>
    <row r="25">
      <c r="A25" s="6" t="s">
        <v>140</v>
      </c>
      <c r="B25" s="11">
        <f>SUMPRODUCT('Shipment Setup'!Q14:Q23,'Shipment Setup'!AA14:AA23)</f>
        <v>100</v>
      </c>
      <c r="C25" s="9" t="s">
        <v>143</v>
      </c>
      <c r="D25" s="2"/>
      <c r="E25" s="6" t="s">
        <v>136</v>
      </c>
      <c r="F25" s="20">
        <f>'Shipment Setup'!P24</f>
        <v>500</v>
      </c>
      <c r="G25" s="11">
        <f>IFERROR($F$43*I25/SUMPRODUCT('Shipment Setup'!B14:B23,'Shipment Setup'!X14:X23),0)+J25+(SUMPRODUCT('Shipment Setup'!P14:P23,'Shipment Setup'!W14:W23))</f>
        <v>0</v>
      </c>
      <c r="H25" s="11">
        <f t="shared" ref="H25:H28" si="2">IF(F25&gt;0,G25/F25,0)</f>
        <v>0</v>
      </c>
      <c r="I25" s="26">
        <f>SUMPRODUCT('Shipment Setup'!P14:P23,'Shipment Setup'!X14:X23)</f>
        <v>0</v>
      </c>
      <c r="J25" s="11">
        <f>F9</f>
        <v>0</v>
      </c>
    </row>
    <row r="26">
      <c r="A26" s="6" t="s">
        <v>146</v>
      </c>
      <c r="B26" s="27"/>
      <c r="C26" s="2"/>
      <c r="D26" s="2"/>
      <c r="E26" s="6" t="s">
        <v>142</v>
      </c>
      <c r="F26" s="20">
        <f>'Shipment Setup'!Q24</f>
        <v>250</v>
      </c>
      <c r="G26" s="11">
        <f>IFERROR($F$43*I26/SUMPRODUCT('Shipment Setup'!B14:B23,'Shipment Setup'!X14:X23),0)+J26+(SUMPRODUCT('Shipment Setup'!Q14:Q23,'Shipment Setup'!W14:W23))</f>
        <v>0</v>
      </c>
      <c r="H26" s="11">
        <f t="shared" si="2"/>
        <v>0</v>
      </c>
      <c r="I26" s="26">
        <f>SUMPRODUCT('Shipment Setup'!Q14:Q23,'Shipment Setup'!X14:X23)</f>
        <v>0</v>
      </c>
      <c r="J26" s="11">
        <f>F10+F13</f>
        <v>0</v>
      </c>
    </row>
    <row r="27">
      <c r="A27" s="6" t="s">
        <v>148</v>
      </c>
      <c r="B27" s="11">
        <f>'Shipment Setup'!F24*N('Rate Card'!B6)*N(B26)</f>
        <v>0</v>
      </c>
      <c r="C27" s="9" t="s">
        <v>149</v>
      </c>
      <c r="D27" s="2"/>
      <c r="E27" s="6" t="s">
        <v>145</v>
      </c>
      <c r="F27" s="20">
        <f>'Shipment Setup'!R24</f>
        <v>100</v>
      </c>
      <c r="G27" s="11">
        <f>IFERROR($F$43*I27/SUMPRODUCT('Shipment Setup'!B14:B23,'Shipment Setup'!X14:X23),0)+J27+(SUMPRODUCT('Shipment Setup'!R14:R23,'Shipment Setup'!W14:W23))</f>
        <v>0</v>
      </c>
      <c r="H27" s="11">
        <f t="shared" si="2"/>
        <v>0</v>
      </c>
      <c r="I27" s="26">
        <f>SUMPRODUCT('Shipment Setup'!R14:R23,'Shipment Setup'!X14:X23)</f>
        <v>0</v>
      </c>
      <c r="J27" s="11">
        <f t="shared" ref="J27:J28" si="3">F11</f>
        <v>0</v>
      </c>
    </row>
    <row r="28">
      <c r="A28" s="6" t="s">
        <v>154</v>
      </c>
      <c r="B28" s="17"/>
      <c r="C28" s="2"/>
      <c r="D28" s="2"/>
      <c r="E28" s="6" t="s">
        <v>147</v>
      </c>
      <c r="F28" s="20">
        <f>'Shipment Setup'!S24</f>
        <v>150</v>
      </c>
      <c r="G28" s="11">
        <f>IFERROR($F$43*I28/SUMPRODUCT('Shipment Setup'!B14:B23,'Shipment Setup'!X14:X23),0)+J28+(SUMPRODUCT('Shipment Setup'!S14:S23,'Shipment Setup'!W14:W23))</f>
        <v>0</v>
      </c>
      <c r="H28" s="11">
        <f t="shared" si="2"/>
        <v>0</v>
      </c>
      <c r="I28" s="26">
        <f>SUMPRODUCT('Shipment Setup'!S14:S23,'Shipment Setup'!X14:X23)</f>
        <v>0</v>
      </c>
      <c r="J28" s="11">
        <f t="shared" si="3"/>
        <v>0</v>
      </c>
    </row>
    <row r="29">
      <c r="A29" s="6" t="s">
        <v>156</v>
      </c>
      <c r="B29" s="17"/>
      <c r="C29" s="2"/>
      <c r="D29" s="2"/>
      <c r="E29" s="2"/>
      <c r="F29" s="2"/>
      <c r="G29" s="2"/>
      <c r="H29" s="2"/>
      <c r="I29" s="2"/>
      <c r="J29" s="2"/>
    </row>
    <row r="30">
      <c r="A30" s="6" t="s">
        <v>157</v>
      </c>
      <c r="B30" s="17"/>
      <c r="C30" s="2"/>
      <c r="D30" s="2"/>
      <c r="E30" s="4" t="s">
        <v>151</v>
      </c>
      <c r="F30" s="4"/>
      <c r="G30" s="4"/>
      <c r="H30" s="4"/>
      <c r="I30" s="2"/>
      <c r="J30" s="2"/>
    </row>
    <row r="31">
      <c r="A31" s="4" t="s">
        <v>158</v>
      </c>
      <c r="B31" s="4"/>
      <c r="C31" s="4"/>
      <c r="D31" s="2"/>
      <c r="E31" s="16" t="s">
        <v>59</v>
      </c>
      <c r="F31" s="16" t="s">
        <v>60</v>
      </c>
      <c r="G31" s="16" t="s">
        <v>130</v>
      </c>
      <c r="H31" s="16" t="s">
        <v>131</v>
      </c>
      <c r="I31" s="2"/>
      <c r="J31" s="2"/>
    </row>
    <row r="32">
      <c r="A32" s="6" t="s">
        <v>159</v>
      </c>
      <c r="B32" s="11">
        <f>N('Shipment Setup'!Q24)*N('Rate Card'!B5)</f>
        <v>125</v>
      </c>
      <c r="C32" s="9" t="s">
        <v>160</v>
      </c>
      <c r="D32" s="2"/>
      <c r="E32" s="6" t="str">
        <f>IF('Shipment Setup'!A14="","",'Shipment Setup'!A14)</f>
        <v>Classic Food Mill</v>
      </c>
      <c r="F32" s="20">
        <f>N('Shipment Setup'!B14)</f>
        <v>1000</v>
      </c>
      <c r="G32" s="11">
        <f>IF(N('Shipment Setup'!B14)&gt;0,$F$43*'Shipment Setup'!Y14+'Shipment Setup'!O14+IFERROR('Shipment Setup'!P14*'Shipment Setup'!X14/$I$25,0)*$J$25+IFERROR('Shipment Setup'!Q14*'Shipment Setup'!X14/$I$26,0)*$J$26+IFERROR('Shipment Setup'!R14*'Shipment Setup'!X14/$I$27,0)*$J$27+IFERROR('Shipment Setup'!S14*'Shipment Setup'!X14/$I$28,0)*$J$28,0)</f>
        <v>0</v>
      </c>
      <c r="H32" s="11">
        <f t="shared" ref="H32:H41" si="4">IF(F32&gt;0,G32/F32,0)</f>
        <v>0</v>
      </c>
      <c r="I32" s="2"/>
      <c r="J32" s="2"/>
    </row>
    <row r="33">
      <c r="A33" s="6" t="s">
        <v>163</v>
      </c>
      <c r="B33" s="17"/>
      <c r="C33" s="2"/>
      <c r="D33" s="2"/>
      <c r="E33" s="6" t="str">
        <f>IF('Shipment Setup'!A15="","",'Shipment Setup'!A15)</f>
        <v/>
      </c>
      <c r="F33" s="20">
        <f>N('Shipment Setup'!B15)</f>
        <v>0</v>
      </c>
      <c r="G33" s="11">
        <f>IF(N('Shipment Setup'!B15)&gt;0,$F$43*'Shipment Setup'!Y15+'Shipment Setup'!O15+IFERROR('Shipment Setup'!P15*'Shipment Setup'!X15/$I$25,0)*$J$25+IFERROR('Shipment Setup'!Q15*'Shipment Setup'!X15/$I$26,0)*$J$26+IFERROR('Shipment Setup'!R15*'Shipment Setup'!X15/$I$27,0)*$J$27+IFERROR('Shipment Setup'!S15*'Shipment Setup'!X15/$I$28,0)*$J$28,0)</f>
        <v>0</v>
      </c>
      <c r="H33" s="11">
        <f t="shared" si="4"/>
        <v>0</v>
      </c>
      <c r="I33" s="2"/>
      <c r="J33" s="2"/>
    </row>
    <row r="34">
      <c r="A34" s="6" t="s">
        <v>165</v>
      </c>
      <c r="B34" s="11" t="str">
        <f>IF(N(B33)&gt;0,B33-B17,"")</f>
        <v/>
      </c>
      <c r="C34" s="2"/>
      <c r="D34" s="2"/>
      <c r="E34" s="6" t="str">
        <f>IF('Shipment Setup'!A16="","",'Shipment Setup'!A16)</f>
        <v/>
      </c>
      <c r="F34" s="20">
        <f>N('Shipment Setup'!B16)</f>
        <v>0</v>
      </c>
      <c r="G34" s="11">
        <f>IF(N('Shipment Setup'!B16)&gt;0,$F$43*'Shipment Setup'!Y16+'Shipment Setup'!O16+IFERROR('Shipment Setup'!P16*'Shipment Setup'!X16/$I$25,0)*$J$25+IFERROR('Shipment Setup'!Q16*'Shipment Setup'!X16/$I$26,0)*$J$26+IFERROR('Shipment Setup'!R16*'Shipment Setup'!X16/$I$27,0)*$J$27+IFERROR('Shipment Setup'!S16*'Shipment Setup'!X16/$I$28,0)*$J$28,0)</f>
        <v>0</v>
      </c>
      <c r="H34" s="11">
        <f t="shared" si="4"/>
        <v>0</v>
      </c>
      <c r="I34" s="2"/>
      <c r="J34" s="2"/>
    </row>
    <row r="35">
      <c r="A35" s="2"/>
      <c r="B35" s="2"/>
      <c r="C35" s="2"/>
      <c r="D35" s="2"/>
      <c r="E35" s="6" t="str">
        <f>IF('Shipment Setup'!A17="","",'Shipment Setup'!A17)</f>
        <v/>
      </c>
      <c r="F35" s="20">
        <f>N('Shipment Setup'!B17)</f>
        <v>0</v>
      </c>
      <c r="G35" s="11">
        <f>IF(N('Shipment Setup'!B17)&gt;0,$F$43*'Shipment Setup'!Y17+'Shipment Setup'!O17+IFERROR('Shipment Setup'!P17*'Shipment Setup'!X17/$I$25,0)*$J$25+IFERROR('Shipment Setup'!Q17*'Shipment Setup'!X17/$I$26,0)*$J$26+IFERROR('Shipment Setup'!R17*'Shipment Setup'!X17/$I$27,0)*$J$27+IFERROR('Shipment Setup'!S17*'Shipment Setup'!X17/$I$28,0)*$J$28,0)</f>
        <v>0</v>
      </c>
      <c r="H35" s="11">
        <f t="shared" si="4"/>
        <v>0</v>
      </c>
      <c r="I35" s="2"/>
      <c r="J35" s="2"/>
    </row>
    <row r="36">
      <c r="A36" s="2"/>
      <c r="B36" s="2"/>
      <c r="C36" s="2"/>
      <c r="D36" s="2"/>
      <c r="E36" s="6" t="str">
        <f>IF('Shipment Setup'!A18="","",'Shipment Setup'!A18)</f>
        <v/>
      </c>
      <c r="F36" s="20">
        <f>N('Shipment Setup'!B18)</f>
        <v>0</v>
      </c>
      <c r="G36" s="11">
        <f>IF(N('Shipment Setup'!B18)&gt;0,$F$43*'Shipment Setup'!Y18+'Shipment Setup'!O18+IFERROR('Shipment Setup'!P18*'Shipment Setup'!X18/$I$25,0)*$J$25+IFERROR('Shipment Setup'!Q18*'Shipment Setup'!X18/$I$26,0)*$J$26+IFERROR('Shipment Setup'!R18*'Shipment Setup'!X18/$I$27,0)*$J$27+IFERROR('Shipment Setup'!S18*'Shipment Setup'!X18/$I$28,0)*$J$28,0)</f>
        <v>0</v>
      </c>
      <c r="H36" s="11">
        <f t="shared" si="4"/>
        <v>0</v>
      </c>
      <c r="I36" s="2"/>
      <c r="J36" s="2"/>
    </row>
    <row r="37">
      <c r="A37" s="2"/>
      <c r="B37" s="2"/>
      <c r="C37" s="2"/>
      <c r="D37" s="2"/>
      <c r="E37" s="6" t="str">
        <f>IF('Shipment Setup'!A19="","",'Shipment Setup'!A19)</f>
        <v/>
      </c>
      <c r="F37" s="20">
        <f>N('Shipment Setup'!B19)</f>
        <v>0</v>
      </c>
      <c r="G37" s="11">
        <f>IF(N('Shipment Setup'!B19)&gt;0,$F$43*'Shipment Setup'!Y19+'Shipment Setup'!O19+IFERROR('Shipment Setup'!P19*'Shipment Setup'!X19/$I$25,0)*$J$25+IFERROR('Shipment Setup'!Q19*'Shipment Setup'!X19/$I$26,0)*$J$26+IFERROR('Shipment Setup'!R19*'Shipment Setup'!X19/$I$27,0)*$J$27+IFERROR('Shipment Setup'!S19*'Shipment Setup'!X19/$I$28,0)*$J$28,0)</f>
        <v>0</v>
      </c>
      <c r="H37" s="11">
        <f t="shared" si="4"/>
        <v>0</v>
      </c>
      <c r="I37" s="2"/>
      <c r="J37" s="2"/>
    </row>
    <row r="38">
      <c r="A38" s="2"/>
      <c r="B38" s="2"/>
      <c r="C38" s="2"/>
      <c r="D38" s="2"/>
      <c r="E38" s="6" t="str">
        <f>IF('Shipment Setup'!A20="","",'Shipment Setup'!A20)</f>
        <v/>
      </c>
      <c r="F38" s="20">
        <f>N('Shipment Setup'!B20)</f>
        <v>0</v>
      </c>
      <c r="G38" s="11">
        <f>IF(N('Shipment Setup'!B20)&gt;0,$F$43*'Shipment Setup'!Y20+'Shipment Setup'!O20+IFERROR('Shipment Setup'!P20*'Shipment Setup'!X20/$I$25,0)*$J$25+IFERROR('Shipment Setup'!Q20*'Shipment Setup'!X20/$I$26,0)*$J$26+IFERROR('Shipment Setup'!R20*'Shipment Setup'!X20/$I$27,0)*$J$27+IFERROR('Shipment Setup'!S20*'Shipment Setup'!X20/$I$28,0)*$J$28,0)</f>
        <v>0</v>
      </c>
      <c r="H38" s="11">
        <f t="shared" si="4"/>
        <v>0</v>
      </c>
      <c r="I38" s="2"/>
      <c r="J38" s="2"/>
    </row>
    <row r="39">
      <c r="A39" s="2"/>
      <c r="B39" s="2"/>
      <c r="C39" s="2"/>
      <c r="D39" s="2"/>
      <c r="E39" s="6" t="str">
        <f>IF('Shipment Setup'!A21="","",'Shipment Setup'!A21)</f>
        <v/>
      </c>
      <c r="F39" s="20">
        <f>N('Shipment Setup'!B21)</f>
        <v>0</v>
      </c>
      <c r="G39" s="11">
        <f>IF(N('Shipment Setup'!B21)&gt;0,$F$43*'Shipment Setup'!Y21+'Shipment Setup'!O21+IFERROR('Shipment Setup'!P21*'Shipment Setup'!X21/$I$25,0)*$J$25+IFERROR('Shipment Setup'!Q21*'Shipment Setup'!X21/$I$26,0)*$J$26+IFERROR('Shipment Setup'!R21*'Shipment Setup'!X21/$I$27,0)*$J$27+IFERROR('Shipment Setup'!S21*'Shipment Setup'!X21/$I$28,0)*$J$28,0)</f>
        <v>0</v>
      </c>
      <c r="H39" s="11">
        <f t="shared" si="4"/>
        <v>0</v>
      </c>
      <c r="I39" s="2"/>
      <c r="J39" s="2"/>
    </row>
    <row r="40">
      <c r="A40" s="2"/>
      <c r="B40" s="2"/>
      <c r="C40" s="2"/>
      <c r="D40" s="2"/>
      <c r="E40" s="6" t="str">
        <f>IF('Shipment Setup'!A22="","",'Shipment Setup'!A22)</f>
        <v/>
      </c>
      <c r="F40" s="20">
        <f>N('Shipment Setup'!B22)</f>
        <v>0</v>
      </c>
      <c r="G40" s="11">
        <f>IF(N('Shipment Setup'!B22)&gt;0,$F$43*'Shipment Setup'!Y22+'Shipment Setup'!O22+IFERROR('Shipment Setup'!P22*'Shipment Setup'!X22/$I$25,0)*$J$25+IFERROR('Shipment Setup'!Q22*'Shipment Setup'!X22/$I$26,0)*$J$26+IFERROR('Shipment Setup'!R22*'Shipment Setup'!X22/$I$27,0)*$J$27+IFERROR('Shipment Setup'!S22*'Shipment Setup'!X22/$I$28,0)*$J$28,0)</f>
        <v>0</v>
      </c>
      <c r="H40" s="11">
        <f t="shared" si="4"/>
        <v>0</v>
      </c>
      <c r="I40" s="2"/>
      <c r="J40" s="2"/>
    </row>
    <row r="41">
      <c r="A41" s="2"/>
      <c r="B41" s="2"/>
      <c r="C41" s="2"/>
      <c r="D41" s="2"/>
      <c r="E41" s="6" t="str">
        <f>IF('Shipment Setup'!A23="","",'Shipment Setup'!A23)</f>
        <v/>
      </c>
      <c r="F41" s="20">
        <f>N('Shipment Setup'!B23)</f>
        <v>0</v>
      </c>
      <c r="G41" s="11">
        <f>IF(N('Shipment Setup'!B23)&gt;0,$F$43*'Shipment Setup'!Y23+'Shipment Setup'!O23+IFERROR('Shipment Setup'!P23*'Shipment Setup'!X23/$I$25,0)*$J$25+IFERROR('Shipment Setup'!Q23*'Shipment Setup'!X23/$I$26,0)*$J$26+IFERROR('Shipment Setup'!R23*'Shipment Setup'!X23/$I$27,0)*$J$27+IFERROR('Shipment Setup'!S23*'Shipment Setup'!X23/$I$28,0)*$J$28,0)</f>
        <v>0</v>
      </c>
      <c r="H41" s="11">
        <f t="shared" si="4"/>
        <v>0</v>
      </c>
      <c r="I41" s="2"/>
      <c r="J41" s="2"/>
    </row>
    <row r="42">
      <c r="A42" s="2"/>
      <c r="B42" s="2"/>
      <c r="C42" s="2"/>
      <c r="D42" s="2"/>
      <c r="E42" s="2"/>
      <c r="F42" s="2"/>
      <c r="G42" s="2"/>
      <c r="H42" s="2"/>
      <c r="I42" s="2"/>
      <c r="J42" s="2"/>
    </row>
    <row r="43">
      <c r="A43" s="2"/>
      <c r="B43" s="2"/>
      <c r="C43" s="2"/>
      <c r="D43" s="2"/>
      <c r="E43" s="9" t="s">
        <v>171</v>
      </c>
      <c r="F43" s="11">
        <f>F5+F6+F7+F14+F15</f>
        <v>0</v>
      </c>
      <c r="G43" s="2"/>
      <c r="H43" s="2"/>
      <c r="I43" s="2"/>
      <c r="J43" s="2"/>
    </row>
  </sheetData>
  <conditionalFormatting sqref="A15:B16">
    <cfRule type="expression" dxfId="0" priority="1" stopIfTrue="1">
      <formula>$B$7&lt;&gt;"Air"</formula>
    </cfRule>
  </conditionalFormatting>
  <conditionalFormatting sqref="A13:B14">
    <cfRule type="expression" dxfId="0" priority="2" stopIfTrue="1">
      <formula>$B$7&lt;&gt;"LCL"</formula>
    </cfRule>
  </conditionalFormatting>
  <conditionalFormatting sqref="A11:B12">
    <cfRule type="expression" dxfId="0" priority="3" stopIfTrue="1">
      <formula>$B$7&lt;&gt;"FCL"</formula>
    </cfRule>
  </conditionalFormatting>
  <dataValidations>
    <dataValidation type="custom" allowBlank="1" showDropDown="1" sqref="B6">
      <formula1>OR(NOT(ISERROR(DATEVALUE(B6))), AND(ISNUMBER(B6), LEFT(CELL("format", B6))="D"))</formula1>
    </dataValidation>
    <dataValidation type="list" allowBlank="1" sqref="B7">
      <formula1>"FCL,LCL,Air"</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15334"/>
    <outlinePr summaryBelow="0" summaryRight="0"/>
  </sheetPr>
  <sheetViews>
    <sheetView showGridLines="0" workbookViewId="0"/>
  </sheetViews>
  <sheetFormatPr customHeight="1" defaultColWidth="12.63" defaultRowHeight="15.75" outlineLevelCol="1"/>
  <cols>
    <col customWidth="1" min="1" max="1" width="35.13"/>
    <col customWidth="1" min="2" max="2" width="16.38"/>
    <col customWidth="1" min="3" max="3" width="33.88"/>
    <col customWidth="1" min="4" max="4" width="2.63"/>
    <col customWidth="1" min="5" max="5" width="37.63"/>
    <col customWidth="1" min="6" max="7" width="13.88"/>
    <col customWidth="1" min="8" max="8" width="12.63"/>
    <col customWidth="1" min="9" max="9" width="11.38"/>
    <col customWidth="1" min="10" max="10" width="12.63"/>
  </cols>
  <sheetData>
    <row r="1">
      <c r="A1" s="1" t="s">
        <v>42</v>
      </c>
      <c r="B1" s="2"/>
      <c r="C1" s="2"/>
      <c r="D1" s="2"/>
      <c r="E1" s="2"/>
      <c r="F1" s="2"/>
      <c r="G1" s="2"/>
      <c r="H1" s="2"/>
      <c r="I1" s="2"/>
      <c r="J1" s="2"/>
    </row>
    <row r="2">
      <c r="A2" s="3" t="s">
        <v>48</v>
      </c>
      <c r="B2" s="2"/>
      <c r="C2" s="2"/>
      <c r="D2" s="2"/>
      <c r="E2" s="2"/>
      <c r="F2" s="2"/>
      <c r="G2" s="2"/>
      <c r="H2" s="2"/>
      <c r="I2" s="2"/>
      <c r="J2" s="2"/>
    </row>
    <row r="3">
      <c r="A3" s="2"/>
      <c r="B3" s="2"/>
      <c r="C3" s="2"/>
      <c r="D3" s="2"/>
      <c r="E3" s="2"/>
      <c r="F3" s="2"/>
      <c r="G3" s="2"/>
      <c r="H3" s="2"/>
      <c r="I3" s="2"/>
      <c r="J3" s="2"/>
    </row>
    <row r="4">
      <c r="A4" s="4" t="s">
        <v>49</v>
      </c>
      <c r="B4" s="4"/>
      <c r="C4" s="4"/>
      <c r="D4" s="2"/>
      <c r="E4" s="4" t="s">
        <v>8</v>
      </c>
      <c r="F4" s="4"/>
      <c r="G4" s="4"/>
      <c r="H4" s="4"/>
      <c r="I4" s="2"/>
      <c r="J4" s="2"/>
    </row>
    <row r="5">
      <c r="A5" s="6" t="s">
        <v>51</v>
      </c>
      <c r="B5" s="7"/>
      <c r="C5" s="2"/>
      <c r="D5" s="2"/>
      <c r="E5" s="6" t="s">
        <v>25</v>
      </c>
      <c r="F5" s="11">
        <f>B20</f>
        <v>0</v>
      </c>
      <c r="G5" s="2"/>
      <c r="H5" s="2"/>
      <c r="I5" s="2"/>
      <c r="J5" s="2"/>
    </row>
    <row r="6">
      <c r="A6" s="6" t="s">
        <v>56</v>
      </c>
      <c r="B6" s="7"/>
      <c r="C6" s="2"/>
      <c r="D6" s="2"/>
      <c r="E6" s="6" t="s">
        <v>46</v>
      </c>
      <c r="F6" s="11">
        <f>B25</f>
        <v>0</v>
      </c>
      <c r="G6" s="2"/>
      <c r="H6" s="2"/>
      <c r="I6" s="2"/>
      <c r="J6" s="2"/>
    </row>
    <row r="7">
      <c r="A7" s="6" t="s">
        <v>44</v>
      </c>
      <c r="B7" s="10"/>
      <c r="C7" s="2"/>
      <c r="D7" s="2"/>
      <c r="E7" s="6" t="s">
        <v>54</v>
      </c>
      <c r="F7" s="11">
        <f>B30</f>
        <v>0</v>
      </c>
      <c r="G7" s="2"/>
      <c r="H7" s="2"/>
      <c r="I7" s="2"/>
      <c r="J7" s="2"/>
    </row>
    <row r="8">
      <c r="A8" s="6" t="s">
        <v>69</v>
      </c>
      <c r="B8" s="13"/>
      <c r="C8" s="9" t="s">
        <v>80</v>
      </c>
      <c r="D8" s="2"/>
      <c r="E8" s="6" t="s">
        <v>58</v>
      </c>
      <c r="F8" s="11">
        <f>B41</f>
        <v>0</v>
      </c>
      <c r="G8" s="2"/>
      <c r="H8" s="2"/>
      <c r="I8" s="2"/>
      <c r="J8" s="2"/>
    </row>
    <row r="9">
      <c r="A9" s="6" t="s">
        <v>50</v>
      </c>
      <c r="B9" s="13"/>
      <c r="C9" s="9" t="s">
        <v>53</v>
      </c>
      <c r="D9" s="2"/>
      <c r="E9" s="6" t="s">
        <v>84</v>
      </c>
      <c r="F9" s="11">
        <f t="shared" ref="F9:F12" si="1">N(B32)</f>
        <v>0</v>
      </c>
      <c r="G9" s="2"/>
      <c r="H9" s="2"/>
      <c r="I9" s="2"/>
      <c r="J9" s="2"/>
    </row>
    <row r="10">
      <c r="A10" s="6" t="s">
        <v>92</v>
      </c>
      <c r="B10" s="14"/>
      <c r="C10" s="2"/>
      <c r="D10" s="2"/>
      <c r="E10" s="6" t="s">
        <v>91</v>
      </c>
      <c r="F10" s="11">
        <f t="shared" si="1"/>
        <v>0</v>
      </c>
      <c r="G10" s="2"/>
      <c r="H10" s="2"/>
      <c r="I10" s="2"/>
      <c r="J10" s="2"/>
    </row>
    <row r="11">
      <c r="A11" s="6" t="s">
        <v>93</v>
      </c>
      <c r="B11" s="14"/>
      <c r="C11" s="2"/>
      <c r="D11" s="2"/>
      <c r="E11" s="6" t="s">
        <v>94</v>
      </c>
      <c r="F11" s="11">
        <f t="shared" si="1"/>
        <v>0</v>
      </c>
      <c r="G11" s="2"/>
      <c r="H11" s="2"/>
      <c r="I11" s="2"/>
      <c r="J11" s="2"/>
    </row>
    <row r="12">
      <c r="A12" s="4" t="s">
        <v>98</v>
      </c>
      <c r="B12" s="4"/>
      <c r="C12" s="4"/>
      <c r="D12" s="2"/>
      <c r="E12" s="6" t="s">
        <v>99</v>
      </c>
      <c r="F12" s="11">
        <f t="shared" si="1"/>
        <v>0</v>
      </c>
      <c r="G12" s="2"/>
      <c r="H12" s="2"/>
      <c r="I12" s="2"/>
      <c r="J12" s="2"/>
    </row>
    <row r="13">
      <c r="A13" s="6" t="s">
        <v>106</v>
      </c>
      <c r="B13" s="17"/>
      <c r="C13" s="9" t="s">
        <v>107</v>
      </c>
      <c r="D13" s="2"/>
      <c r="E13" s="6" t="s">
        <v>102</v>
      </c>
      <c r="F13" s="11">
        <f>IF(B8="",0,N('Shipment Setup'!Q24)*N(B37))</f>
        <v>0</v>
      </c>
      <c r="G13" s="2"/>
      <c r="H13" s="2"/>
      <c r="I13" s="2"/>
      <c r="J13" s="2"/>
    </row>
    <row r="14">
      <c r="A14" s="6" t="s">
        <v>95</v>
      </c>
      <c r="B14" s="14"/>
      <c r="C14" s="2"/>
      <c r="D14" s="2"/>
      <c r="E14" s="6" t="s">
        <v>105</v>
      </c>
      <c r="F14" s="11">
        <f t="shared" ref="F14:F15" si="2">N(B38)</f>
        <v>0</v>
      </c>
      <c r="G14" s="2"/>
      <c r="H14" s="2"/>
      <c r="I14" s="2"/>
      <c r="J14" s="2"/>
    </row>
    <row r="15">
      <c r="A15" s="6" t="s">
        <v>97</v>
      </c>
      <c r="B15" s="17"/>
      <c r="C15" s="2"/>
      <c r="D15" s="2"/>
      <c r="E15" s="6" t="s">
        <v>109</v>
      </c>
      <c r="F15" s="11">
        <f t="shared" si="2"/>
        <v>0</v>
      </c>
      <c r="G15" s="2"/>
      <c r="H15" s="2"/>
      <c r="I15" s="2"/>
      <c r="J15" s="2"/>
    </row>
    <row r="16">
      <c r="A16" s="6" t="s">
        <v>101</v>
      </c>
      <c r="B16" s="17"/>
      <c r="C16" s="2"/>
      <c r="D16" s="2"/>
      <c r="E16" s="21" t="s">
        <v>111</v>
      </c>
      <c r="F16" s="23">
        <f>SUM(F5:F15)</f>
        <v>0</v>
      </c>
      <c r="G16" s="2"/>
      <c r="H16" s="2"/>
      <c r="I16" s="2"/>
      <c r="J16" s="2"/>
    </row>
    <row r="17">
      <c r="A17" s="6" t="s">
        <v>104</v>
      </c>
      <c r="B17" s="17"/>
      <c r="C17" s="2"/>
      <c r="D17" s="2"/>
      <c r="E17" s="21" t="s">
        <v>113</v>
      </c>
      <c r="F17" s="23">
        <f>IF(N('Shipment Setup'!B24)&gt;0,F16/'Shipment Setup'!B24,0)</f>
        <v>0</v>
      </c>
      <c r="G17" s="2"/>
      <c r="H17" s="2"/>
      <c r="I17" s="2"/>
      <c r="J17" s="2"/>
    </row>
    <row r="18">
      <c r="A18" s="6" t="s">
        <v>108</v>
      </c>
      <c r="B18" s="17"/>
      <c r="C18" s="2"/>
      <c r="D18" s="2"/>
      <c r="E18" s="6" t="s">
        <v>114</v>
      </c>
      <c r="F18" s="20">
        <f>N(B10)+N(B11)</f>
        <v>0</v>
      </c>
      <c r="G18" s="2"/>
      <c r="H18" s="2"/>
      <c r="I18" s="2"/>
      <c r="J18" s="2"/>
    </row>
    <row r="19">
      <c r="A19" s="6" t="s">
        <v>110</v>
      </c>
      <c r="B19" s="20">
        <f>MAX('Shipment Setup'!H24,'Shipment Setup'!F24*'Rate Card'!B7)</f>
        <v>0</v>
      </c>
      <c r="C19" s="9" t="s">
        <v>115</v>
      </c>
      <c r="D19" s="2"/>
      <c r="E19" s="6" t="s">
        <v>116</v>
      </c>
      <c r="F19" s="11">
        <f>IF('Shipment Setup'!B8="Yes",F16*N('Shipment Setup'!B9)*F18/365,0)</f>
        <v>0</v>
      </c>
      <c r="G19" s="2"/>
      <c r="H19" s="2"/>
      <c r="I19" s="2"/>
      <c r="J19" s="2"/>
    </row>
    <row r="20">
      <c r="A20" s="6" t="s">
        <v>118</v>
      </c>
      <c r="B20" s="11">
        <f>IF(B8="DDP",N(B13),IF(B9="FCL",N(B14)*N(B15),IF(B9="LCL",MAX(N(B17),'Shipment Setup'!F24*N(B16)),IF(B9="Air",B19*N(B18),0))))</f>
        <v>0</v>
      </c>
      <c r="C20" s="2"/>
      <c r="D20" s="2"/>
      <c r="E20" s="6" t="s">
        <v>120</v>
      </c>
      <c r="F20" s="11">
        <f>F16+F19</f>
        <v>0</v>
      </c>
      <c r="G20" s="2"/>
      <c r="H20" s="2"/>
      <c r="I20" s="2"/>
      <c r="J20" s="2"/>
    </row>
    <row r="21">
      <c r="A21" s="4" t="s">
        <v>122</v>
      </c>
      <c r="B21" s="4"/>
      <c r="C21" s="4"/>
      <c r="D21" s="2"/>
      <c r="E21" s="6" t="s">
        <v>123</v>
      </c>
      <c r="F21" s="11">
        <f>IF(N('Shipment Setup'!B24)&gt;0,F20/'Shipment Setup'!B24,0)</f>
        <v>0</v>
      </c>
      <c r="G21" s="2"/>
      <c r="H21" s="2"/>
      <c r="I21" s="2"/>
      <c r="J21" s="2"/>
    </row>
    <row r="22">
      <c r="A22" s="6" t="s">
        <v>125</v>
      </c>
      <c r="B22" s="17"/>
      <c r="C22" s="2"/>
      <c r="D22" s="2"/>
      <c r="E22" s="2"/>
      <c r="F22" s="2"/>
      <c r="G22" s="2"/>
      <c r="H22" s="2"/>
      <c r="I22" s="2"/>
      <c r="J22" s="2"/>
    </row>
    <row r="23">
      <c r="A23" s="6" t="s">
        <v>126</v>
      </c>
      <c r="B23" s="17"/>
      <c r="C23" s="2"/>
      <c r="D23" s="2"/>
      <c r="E23" s="4" t="s">
        <v>127</v>
      </c>
      <c r="F23" s="4"/>
      <c r="G23" s="4"/>
      <c r="H23" s="4"/>
      <c r="I23" s="4"/>
      <c r="J23" s="4"/>
    </row>
    <row r="24">
      <c r="A24" s="6" t="s">
        <v>128</v>
      </c>
      <c r="B24" s="17"/>
      <c r="C24" s="2"/>
      <c r="D24" s="2"/>
      <c r="E24" s="16" t="s">
        <v>129</v>
      </c>
      <c r="F24" s="16" t="s">
        <v>60</v>
      </c>
      <c r="G24" s="16" t="s">
        <v>130</v>
      </c>
      <c r="H24" s="16" t="s">
        <v>131</v>
      </c>
      <c r="I24" s="16" t="s">
        <v>132</v>
      </c>
      <c r="J24" s="16" t="s">
        <v>133</v>
      </c>
    </row>
    <row r="25">
      <c r="A25" s="6" t="s">
        <v>134</v>
      </c>
      <c r="B25" s="11">
        <f>IF(B8="EXW",SUM(B22:B24),0)</f>
        <v>0</v>
      </c>
      <c r="C25" s="2"/>
      <c r="D25" s="2"/>
      <c r="E25" s="6" t="s">
        <v>136</v>
      </c>
      <c r="F25" s="20">
        <f>'Shipment Setup'!P24</f>
        <v>500</v>
      </c>
      <c r="G25" s="11">
        <f>IFERROR($F$43*I25/SUMPRODUCT('Shipment Setup'!B14:B23,'Shipment Setup'!X14:X23),0)+J25+IF($B$8="DDP",0,SUMPRODUCT('Shipment Setup'!P14:P23,'Shipment Setup'!W14:W23))</f>
        <v>0</v>
      </c>
      <c r="H25" s="11">
        <f t="shared" ref="H25:H28" si="3">IF(F25&gt;0,G25/F25,0)</f>
        <v>0</v>
      </c>
      <c r="I25" s="26">
        <f>SUMPRODUCT('Shipment Setup'!P14:P23,'Shipment Setup'!X14:X23)</f>
        <v>0</v>
      </c>
      <c r="J25" s="11">
        <f>F9</f>
        <v>0</v>
      </c>
    </row>
    <row r="26">
      <c r="A26" s="4" t="s">
        <v>141</v>
      </c>
      <c r="B26" s="4"/>
      <c r="C26" s="4"/>
      <c r="D26" s="2"/>
      <c r="E26" s="6" t="s">
        <v>142</v>
      </c>
      <c r="F26" s="20">
        <f>'Shipment Setup'!Q24</f>
        <v>250</v>
      </c>
      <c r="G26" s="11">
        <f>IFERROR($F$43*I26/SUMPRODUCT('Shipment Setup'!B14:B23,'Shipment Setup'!X14:X23),0)+J26+IF($B$8="DDP",0,SUMPRODUCT('Shipment Setup'!Q14:Q23,'Shipment Setup'!W14:W23))</f>
        <v>0</v>
      </c>
      <c r="H26" s="11">
        <f t="shared" si="3"/>
        <v>0</v>
      </c>
      <c r="I26" s="26">
        <f>SUMPRODUCT('Shipment Setup'!Q14:Q23,'Shipment Setup'!X14:X23)</f>
        <v>0</v>
      </c>
      <c r="J26" s="11">
        <f>F10+F13</f>
        <v>0</v>
      </c>
    </row>
    <row r="27">
      <c r="A27" s="6" t="s">
        <v>144</v>
      </c>
      <c r="B27" s="17"/>
      <c r="C27" s="2"/>
      <c r="D27" s="2"/>
      <c r="E27" s="6" t="s">
        <v>145</v>
      </c>
      <c r="F27" s="20">
        <f>'Shipment Setup'!R24</f>
        <v>100</v>
      </c>
      <c r="G27" s="11">
        <f>IFERROR($F$43*I27/SUMPRODUCT('Shipment Setup'!B14:B23,'Shipment Setup'!X14:X23),0)+J27+IF($B$8="DDP",0,SUMPRODUCT('Shipment Setup'!R14:R23,'Shipment Setup'!W14:W23))</f>
        <v>0</v>
      </c>
      <c r="H27" s="11">
        <f t="shared" si="3"/>
        <v>0</v>
      </c>
      <c r="I27" s="26">
        <f>SUMPRODUCT('Shipment Setup'!R14:R23,'Shipment Setup'!X14:X23)</f>
        <v>0</v>
      </c>
      <c r="J27" s="11">
        <f t="shared" ref="J27:J28" si="4">F11</f>
        <v>0</v>
      </c>
    </row>
    <row r="28">
      <c r="A28" s="6" t="s">
        <v>121</v>
      </c>
      <c r="B28" s="17"/>
      <c r="C28" s="2"/>
      <c r="D28" s="2"/>
      <c r="E28" s="6" t="s">
        <v>147</v>
      </c>
      <c r="F28" s="20">
        <f>'Shipment Setup'!S24</f>
        <v>150</v>
      </c>
      <c r="G28" s="11">
        <f>IFERROR($F$43*I28/SUMPRODUCT('Shipment Setup'!B14:B23,'Shipment Setup'!X14:X23),0)+J28+IF($B$8="DDP",0,SUMPRODUCT('Shipment Setup'!S14:S23,'Shipment Setup'!W14:W23))</f>
        <v>0</v>
      </c>
      <c r="H28" s="11">
        <f t="shared" si="3"/>
        <v>0</v>
      </c>
      <c r="I28" s="26">
        <f>SUMPRODUCT('Shipment Setup'!S14:S23,'Shipment Setup'!X14:X23)</f>
        <v>0</v>
      </c>
      <c r="J28" s="11">
        <f t="shared" si="4"/>
        <v>0</v>
      </c>
    </row>
    <row r="29">
      <c r="A29" s="6" t="s">
        <v>124</v>
      </c>
      <c r="B29" s="17"/>
      <c r="C29" s="2"/>
      <c r="D29" s="2"/>
      <c r="E29" s="2"/>
      <c r="F29" s="2"/>
      <c r="G29" s="2"/>
      <c r="H29" s="2"/>
      <c r="I29" s="2"/>
      <c r="J29" s="2"/>
    </row>
    <row r="30">
      <c r="A30" s="6" t="s">
        <v>150</v>
      </c>
      <c r="B30" s="11">
        <f>IF(B8="DDP",0,SUM(B27:B29))</f>
        <v>0</v>
      </c>
      <c r="C30" s="2"/>
      <c r="D30" s="2"/>
      <c r="E30" s="4" t="s">
        <v>151</v>
      </c>
      <c r="F30" s="4"/>
      <c r="G30" s="4"/>
      <c r="H30" s="4"/>
      <c r="I30" s="2"/>
      <c r="J30" s="2"/>
    </row>
    <row r="31">
      <c r="A31" s="4" t="s">
        <v>152</v>
      </c>
      <c r="B31" s="4"/>
      <c r="C31" s="4"/>
      <c r="D31" s="2"/>
      <c r="E31" s="16" t="s">
        <v>59</v>
      </c>
      <c r="F31" s="16" t="s">
        <v>60</v>
      </c>
      <c r="G31" s="16" t="s">
        <v>130</v>
      </c>
      <c r="H31" s="16" t="s">
        <v>131</v>
      </c>
      <c r="I31" s="2"/>
      <c r="J31" s="2"/>
    </row>
    <row r="32">
      <c r="A32" s="6" t="s">
        <v>153</v>
      </c>
      <c r="B32" s="17"/>
      <c r="C32" s="2"/>
      <c r="D32" s="2"/>
      <c r="E32" s="6" t="str">
        <f>IF('Shipment Setup'!A14="","",'Shipment Setup'!A14)</f>
        <v>Classic Food Mill</v>
      </c>
      <c r="F32" s="20">
        <f>N('Shipment Setup'!B14)</f>
        <v>1000</v>
      </c>
      <c r="G32" s="11">
        <f>IF(N('Shipment Setup'!B14)&gt;0,$F$43*'Shipment Setup'!Y14+IF($B$8="DDP",0,'Shipment Setup'!O14)+IFERROR('Shipment Setup'!P14*'Shipment Setup'!X14/$I$25,0)*$J$25+IFERROR('Shipment Setup'!Q14*'Shipment Setup'!X14/$I$26,0)*$J$26+IFERROR('Shipment Setup'!R14*'Shipment Setup'!X14/$I$27,0)*$J$27+IFERROR('Shipment Setup'!S14*'Shipment Setup'!X14/$I$28,0)*$J$28,0)</f>
        <v>0</v>
      </c>
      <c r="H32" s="11">
        <f t="shared" ref="H32:H41" si="5">IF(F32&gt;0,G32/F32,0)</f>
        <v>0</v>
      </c>
      <c r="I32" s="2"/>
      <c r="J32" s="2"/>
    </row>
    <row r="33">
      <c r="A33" s="6" t="s">
        <v>155</v>
      </c>
      <c r="B33" s="17"/>
      <c r="C33" s="2"/>
      <c r="D33" s="2"/>
      <c r="E33" s="6" t="str">
        <f>IF('Shipment Setup'!A15="","",'Shipment Setup'!A15)</f>
        <v/>
      </c>
      <c r="F33" s="20">
        <f>N('Shipment Setup'!B15)</f>
        <v>0</v>
      </c>
      <c r="G33" s="11">
        <f>IF(N('Shipment Setup'!B15)&gt;0,$F$43*'Shipment Setup'!Y15+IF($B$8="DDP",0,'Shipment Setup'!O15)+IFERROR('Shipment Setup'!P15*'Shipment Setup'!X15/$I$25,0)*$J$25+IFERROR('Shipment Setup'!Q15*'Shipment Setup'!X15/$I$26,0)*$J$26+IFERROR('Shipment Setup'!R15*'Shipment Setup'!X15/$I$27,0)*$J$27+IFERROR('Shipment Setup'!S15*'Shipment Setup'!X15/$I$28,0)*$J$28,0)</f>
        <v>0</v>
      </c>
      <c r="H33" s="11">
        <f t="shared" si="5"/>
        <v>0</v>
      </c>
      <c r="I33" s="2"/>
      <c r="J33" s="2"/>
    </row>
    <row r="34">
      <c r="A34" s="6" t="s">
        <v>161</v>
      </c>
      <c r="B34" s="17"/>
      <c r="C34" s="2"/>
      <c r="D34" s="2"/>
      <c r="E34" s="6" t="str">
        <f>IF('Shipment Setup'!A16="","",'Shipment Setup'!A16)</f>
        <v/>
      </c>
      <c r="F34" s="20">
        <f>N('Shipment Setup'!B16)</f>
        <v>0</v>
      </c>
      <c r="G34" s="11">
        <f>IF(N('Shipment Setup'!B16)&gt;0,$F$43*'Shipment Setup'!Y16+IF($B$8="DDP",0,'Shipment Setup'!O16)+IFERROR('Shipment Setup'!P16*'Shipment Setup'!X16/$I$25,0)*$J$25+IFERROR('Shipment Setup'!Q16*'Shipment Setup'!X16/$I$26,0)*$J$26+IFERROR('Shipment Setup'!R16*'Shipment Setup'!X16/$I$27,0)*$J$27+IFERROR('Shipment Setup'!S16*'Shipment Setup'!X16/$I$28,0)*$J$28,0)</f>
        <v>0</v>
      </c>
      <c r="H34" s="11">
        <f t="shared" si="5"/>
        <v>0</v>
      </c>
      <c r="I34" s="2"/>
      <c r="J34" s="2"/>
    </row>
    <row r="35">
      <c r="A35" s="6" t="s">
        <v>162</v>
      </c>
      <c r="B35" s="17"/>
      <c r="C35" s="2"/>
      <c r="D35" s="2"/>
      <c r="E35" s="6" t="str">
        <f>IF('Shipment Setup'!A17="","",'Shipment Setup'!A17)</f>
        <v/>
      </c>
      <c r="F35" s="20">
        <f>N('Shipment Setup'!B17)</f>
        <v>0</v>
      </c>
      <c r="G35" s="11">
        <f>IF(N('Shipment Setup'!B17)&gt;0,$F$43*'Shipment Setup'!Y17+IF($B$8="DDP",0,'Shipment Setup'!O17)+IFERROR('Shipment Setup'!P17*'Shipment Setup'!X17/$I$25,0)*$J$25+IFERROR('Shipment Setup'!Q17*'Shipment Setup'!X17/$I$26,0)*$J$26+IFERROR('Shipment Setup'!R17*'Shipment Setup'!X17/$I$27,0)*$J$27+IFERROR('Shipment Setup'!S17*'Shipment Setup'!X17/$I$28,0)*$J$28,0)</f>
        <v>0</v>
      </c>
      <c r="H35" s="11">
        <f t="shared" si="5"/>
        <v>0</v>
      </c>
      <c r="I35" s="2"/>
      <c r="J35" s="2"/>
    </row>
    <row r="36">
      <c r="A36" s="4" t="s">
        <v>164</v>
      </c>
      <c r="B36" s="4"/>
      <c r="C36" s="4"/>
      <c r="D36" s="2"/>
      <c r="E36" s="6" t="str">
        <f>IF('Shipment Setup'!A18="","",'Shipment Setup'!A18)</f>
        <v/>
      </c>
      <c r="F36" s="20">
        <f>N('Shipment Setup'!B18)</f>
        <v>0</v>
      </c>
      <c r="G36" s="11">
        <f>IF(N('Shipment Setup'!B18)&gt;0,$F$43*'Shipment Setup'!Y18+IF($B$8="DDP",0,'Shipment Setup'!O18)+IFERROR('Shipment Setup'!P18*'Shipment Setup'!X18/$I$25,0)*$J$25+IFERROR('Shipment Setup'!Q18*'Shipment Setup'!X18/$I$26,0)*$J$26+IFERROR('Shipment Setup'!R18*'Shipment Setup'!X18/$I$27,0)*$J$27+IFERROR('Shipment Setup'!S18*'Shipment Setup'!X18/$I$28,0)*$J$28,0)</f>
        <v>0</v>
      </c>
      <c r="H36" s="11">
        <f t="shared" si="5"/>
        <v>0</v>
      </c>
      <c r="I36" s="2"/>
      <c r="J36" s="2"/>
    </row>
    <row r="37">
      <c r="A37" s="6" t="s">
        <v>166</v>
      </c>
      <c r="B37" s="17">
        <f>'Rate Card'!B5</f>
        <v>0.5</v>
      </c>
      <c r="C37" s="9" t="s">
        <v>167</v>
      </c>
      <c r="D37" s="2"/>
      <c r="E37" s="6" t="str">
        <f>IF('Shipment Setup'!A19="","",'Shipment Setup'!A19)</f>
        <v/>
      </c>
      <c r="F37" s="20">
        <f>N('Shipment Setup'!B19)</f>
        <v>0</v>
      </c>
      <c r="G37" s="11">
        <f>IF(N('Shipment Setup'!B19)&gt;0,$F$43*'Shipment Setup'!Y19+IF($B$8="DDP",0,'Shipment Setup'!O19)+IFERROR('Shipment Setup'!P19*'Shipment Setup'!X19/$I$25,0)*$J$25+IFERROR('Shipment Setup'!Q19*'Shipment Setup'!X19/$I$26,0)*$J$26+IFERROR('Shipment Setup'!R19*'Shipment Setup'!X19/$I$27,0)*$J$27+IFERROR('Shipment Setup'!S19*'Shipment Setup'!X19/$I$28,0)*$J$28,0)</f>
        <v>0</v>
      </c>
      <c r="H37" s="11">
        <f t="shared" si="5"/>
        <v>0</v>
      </c>
      <c r="I37" s="2"/>
      <c r="J37" s="2"/>
    </row>
    <row r="38">
      <c r="A38" s="6" t="s">
        <v>168</v>
      </c>
      <c r="B38" s="17"/>
      <c r="C38" s="2"/>
      <c r="D38" s="2"/>
      <c r="E38" s="6" t="str">
        <f>IF('Shipment Setup'!A20="","",'Shipment Setup'!A20)</f>
        <v/>
      </c>
      <c r="F38" s="20">
        <f>N('Shipment Setup'!B20)</f>
        <v>0</v>
      </c>
      <c r="G38" s="11">
        <f>IF(N('Shipment Setup'!B20)&gt;0,$F$43*'Shipment Setup'!Y20+IF($B$8="DDP",0,'Shipment Setup'!O20)+IFERROR('Shipment Setup'!P20*'Shipment Setup'!X20/$I$25,0)*$J$25+IFERROR('Shipment Setup'!Q20*'Shipment Setup'!X20/$I$26,0)*$J$26+IFERROR('Shipment Setup'!R20*'Shipment Setup'!X20/$I$27,0)*$J$27+IFERROR('Shipment Setup'!S20*'Shipment Setup'!X20/$I$28,0)*$J$28,0)</f>
        <v>0</v>
      </c>
      <c r="H38" s="11">
        <f t="shared" si="5"/>
        <v>0</v>
      </c>
      <c r="I38" s="2"/>
      <c r="J38" s="2"/>
    </row>
    <row r="39">
      <c r="A39" s="6" t="s">
        <v>157</v>
      </c>
      <c r="B39" s="17"/>
      <c r="C39" s="2"/>
      <c r="D39" s="2"/>
      <c r="E39" s="6" t="str">
        <f>IF('Shipment Setup'!A21="","",'Shipment Setup'!A21)</f>
        <v/>
      </c>
      <c r="F39" s="20">
        <f>N('Shipment Setup'!B21)</f>
        <v>0</v>
      </c>
      <c r="G39" s="11">
        <f>IF(N('Shipment Setup'!B21)&gt;0,$F$43*'Shipment Setup'!Y21+IF($B$8="DDP",0,'Shipment Setup'!O21)+IFERROR('Shipment Setup'!P21*'Shipment Setup'!X21/$I$25,0)*$J$25+IFERROR('Shipment Setup'!Q21*'Shipment Setup'!X21/$I$26,0)*$J$26+IFERROR('Shipment Setup'!R21*'Shipment Setup'!X21/$I$27,0)*$J$27+IFERROR('Shipment Setup'!S21*'Shipment Setup'!X21/$I$28,0)*$J$28,0)</f>
        <v>0</v>
      </c>
      <c r="H39" s="11">
        <f t="shared" si="5"/>
        <v>0</v>
      </c>
      <c r="I39" s="2"/>
      <c r="J39" s="2"/>
    </row>
    <row r="40">
      <c r="A40" s="4" t="s">
        <v>169</v>
      </c>
      <c r="B40" s="4"/>
      <c r="C40" s="4"/>
      <c r="D40" s="2"/>
      <c r="E40" s="6" t="str">
        <f>IF('Shipment Setup'!A22="","",'Shipment Setup'!A22)</f>
        <v/>
      </c>
      <c r="F40" s="20">
        <f>N('Shipment Setup'!B22)</f>
        <v>0</v>
      </c>
      <c r="G40" s="11">
        <f>IF(N('Shipment Setup'!B22)&gt;0,$F$43*'Shipment Setup'!Y22+IF($B$8="DDP",0,'Shipment Setup'!O22)+IFERROR('Shipment Setup'!P22*'Shipment Setup'!X22/$I$25,0)*$J$25+IFERROR('Shipment Setup'!Q22*'Shipment Setup'!X22/$I$26,0)*$J$26+IFERROR('Shipment Setup'!R22*'Shipment Setup'!X22/$I$27,0)*$J$27+IFERROR('Shipment Setup'!S22*'Shipment Setup'!X22/$I$28,0)*$J$28,0)</f>
        <v>0</v>
      </c>
      <c r="H40" s="11">
        <f t="shared" si="5"/>
        <v>0</v>
      </c>
      <c r="I40" s="2"/>
      <c r="J40" s="2"/>
    </row>
    <row r="41">
      <c r="A41" s="6" t="s">
        <v>135</v>
      </c>
      <c r="B41" s="11">
        <f>IF(OR(B8="",B8="DDP"),0,'Shipment Setup'!O24)</f>
        <v>0</v>
      </c>
      <c r="C41" s="9" t="s">
        <v>170</v>
      </c>
      <c r="D41" s="2"/>
      <c r="E41" s="6" t="str">
        <f>IF('Shipment Setup'!A23="","",'Shipment Setup'!A23)</f>
        <v/>
      </c>
      <c r="F41" s="20">
        <f>N('Shipment Setup'!B23)</f>
        <v>0</v>
      </c>
      <c r="G41" s="11">
        <f>IF(N('Shipment Setup'!B23)&gt;0,$F$43*'Shipment Setup'!Y23+IF($B$8="DDP",0,'Shipment Setup'!O23)+IFERROR('Shipment Setup'!P23*'Shipment Setup'!X23/$I$25,0)*$J$25+IFERROR('Shipment Setup'!Q23*'Shipment Setup'!X23/$I$26,0)*$J$26+IFERROR('Shipment Setup'!R23*'Shipment Setup'!X23/$I$27,0)*$J$27+IFERROR('Shipment Setup'!S23*'Shipment Setup'!X23/$I$28,0)*$J$28,0)</f>
        <v>0</v>
      </c>
      <c r="H41" s="11">
        <f t="shared" si="5"/>
        <v>0</v>
      </c>
      <c r="I41" s="2"/>
      <c r="J41" s="2"/>
    </row>
    <row r="42">
      <c r="A42" s="2"/>
      <c r="B42" s="2"/>
      <c r="C42" s="2"/>
      <c r="D42" s="2"/>
      <c r="E42" s="2"/>
      <c r="F42" s="2"/>
      <c r="G42" s="2"/>
      <c r="H42" s="2"/>
      <c r="I42" s="2"/>
      <c r="J42" s="2"/>
    </row>
    <row r="43">
      <c r="A43" s="2"/>
      <c r="B43" s="2"/>
      <c r="C43" s="2"/>
      <c r="D43" s="2"/>
      <c r="E43" s="9" t="s">
        <v>171</v>
      </c>
      <c r="F43" s="11">
        <f>F5+F6+F7+F14+F15</f>
        <v>0</v>
      </c>
      <c r="G43" s="2"/>
      <c r="H43" s="2"/>
      <c r="I43" s="2"/>
      <c r="J43" s="2"/>
    </row>
  </sheetData>
  <conditionalFormatting sqref="A41:B41">
    <cfRule type="expression" dxfId="0" priority="1" stopIfTrue="1">
      <formula>$B$8="DDP"</formula>
    </cfRule>
  </conditionalFormatting>
  <conditionalFormatting sqref="A27:B30">
    <cfRule type="expression" dxfId="0" priority="2" stopIfTrue="1">
      <formula>$B$8="DDP"</formula>
    </cfRule>
  </conditionalFormatting>
  <conditionalFormatting sqref="A22:B25">
    <cfRule type="expression" dxfId="0" priority="3" stopIfTrue="1">
      <formula>$B$8&lt;&gt;"EXW"</formula>
    </cfRule>
  </conditionalFormatting>
  <conditionalFormatting sqref="A20:B20">
    <cfRule type="expression" dxfId="0" priority="4" stopIfTrue="1">
      <formula>$B$8="DDP"</formula>
    </cfRule>
  </conditionalFormatting>
  <conditionalFormatting sqref="A18:B19">
    <cfRule type="expression" dxfId="0" priority="5" stopIfTrue="1">
      <formula>OR($B$8="DDP",$B$9&lt;&gt;"Air")</formula>
    </cfRule>
  </conditionalFormatting>
  <conditionalFormatting sqref="A16:B17">
    <cfRule type="expression" dxfId="0" priority="6" stopIfTrue="1">
      <formula>OR($B$8="DDP",$B$9&lt;&gt;"LCL")</formula>
    </cfRule>
  </conditionalFormatting>
  <conditionalFormatting sqref="A14:B15">
    <cfRule type="expression" dxfId="0" priority="7" stopIfTrue="1">
      <formula>OR($B$8="DDP",$B$9&lt;&gt;"FCL")</formula>
    </cfRule>
  </conditionalFormatting>
  <conditionalFormatting sqref="A13:B13">
    <cfRule type="expression" dxfId="0" priority="8" stopIfTrue="1">
      <formula>$B$8&lt;&gt;"DDP"</formula>
    </cfRule>
  </conditionalFormatting>
  <dataValidations>
    <dataValidation type="custom" allowBlank="1" showDropDown="1" sqref="B7">
      <formula1>OR(NOT(ISERROR(DATEVALUE(B7))), AND(ISNUMBER(B7), LEFT(CELL("format", B7))="D"))</formula1>
    </dataValidation>
    <dataValidation type="list" allowBlank="1" sqref="B8">
      <formula1>"EXW,FOB,DDP"</formula1>
    </dataValidation>
    <dataValidation type="list" allowBlank="1" sqref="B9">
      <formula1>"FCL,LCL,Air"</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15334"/>
    <outlinePr summaryBelow="0" summaryRight="0"/>
  </sheetPr>
  <sheetViews>
    <sheetView showGridLines="0" workbookViewId="0"/>
  </sheetViews>
  <sheetFormatPr customHeight="1" defaultColWidth="12.63" defaultRowHeight="15.75" outlineLevelCol="1"/>
  <cols>
    <col customWidth="1" min="1" max="1" width="35.13"/>
    <col customWidth="1" min="2" max="2" width="16.38"/>
    <col customWidth="1" min="3" max="3" width="33.88"/>
    <col customWidth="1" min="4" max="4" width="2.63"/>
    <col customWidth="1" min="5" max="5" width="37.63"/>
    <col customWidth="1" min="6" max="7" width="13.88"/>
    <col customWidth="1" min="8" max="8" width="12.63"/>
    <col customWidth="1" min="9" max="9" width="11.38"/>
    <col customWidth="1" min="10" max="10" width="12.63"/>
  </cols>
  <sheetData>
    <row r="1">
      <c r="A1" s="1" t="s">
        <v>96</v>
      </c>
      <c r="B1" s="2"/>
      <c r="C1" s="2"/>
      <c r="D1" s="2"/>
      <c r="E1" s="2"/>
      <c r="F1" s="2"/>
      <c r="G1" s="2"/>
      <c r="H1" s="2"/>
      <c r="I1" s="2"/>
      <c r="J1" s="2"/>
    </row>
    <row r="2">
      <c r="A2" s="3" t="s">
        <v>48</v>
      </c>
      <c r="B2" s="2"/>
      <c r="C2" s="2"/>
      <c r="D2" s="2"/>
      <c r="E2" s="2"/>
      <c r="F2" s="2"/>
      <c r="G2" s="2"/>
      <c r="H2" s="2"/>
      <c r="I2" s="2"/>
      <c r="J2" s="2"/>
    </row>
    <row r="3">
      <c r="A3" s="2"/>
      <c r="B3" s="2"/>
      <c r="C3" s="2"/>
      <c r="D3" s="2"/>
      <c r="E3" s="2"/>
      <c r="F3" s="2"/>
      <c r="G3" s="2"/>
      <c r="H3" s="2"/>
      <c r="I3" s="2"/>
      <c r="J3" s="2"/>
    </row>
    <row r="4">
      <c r="A4" s="4" t="s">
        <v>49</v>
      </c>
      <c r="B4" s="4"/>
      <c r="C4" s="4"/>
      <c r="D4" s="2"/>
      <c r="E4" s="4" t="s">
        <v>8</v>
      </c>
      <c r="F4" s="4"/>
      <c r="G4" s="4"/>
      <c r="H4" s="4"/>
      <c r="I4" s="2"/>
      <c r="J4" s="2"/>
    </row>
    <row r="5">
      <c r="A5" s="6" t="s">
        <v>51</v>
      </c>
      <c r="B5" s="7"/>
      <c r="C5" s="2"/>
      <c r="D5" s="2"/>
      <c r="E5" s="6" t="s">
        <v>25</v>
      </c>
      <c r="F5" s="11">
        <f>B20</f>
        <v>0</v>
      </c>
      <c r="G5" s="2"/>
      <c r="H5" s="2"/>
      <c r="I5" s="2"/>
      <c r="J5" s="2"/>
    </row>
    <row r="6">
      <c r="A6" s="6" t="s">
        <v>56</v>
      </c>
      <c r="B6" s="7"/>
      <c r="C6" s="2"/>
      <c r="D6" s="2"/>
      <c r="E6" s="6" t="s">
        <v>46</v>
      </c>
      <c r="F6" s="11">
        <f>B25</f>
        <v>0</v>
      </c>
      <c r="G6" s="2"/>
      <c r="H6" s="2"/>
      <c r="I6" s="2"/>
      <c r="J6" s="2"/>
    </row>
    <row r="7">
      <c r="A7" s="6" t="s">
        <v>44</v>
      </c>
      <c r="B7" s="10"/>
      <c r="C7" s="2"/>
      <c r="D7" s="2"/>
      <c r="E7" s="6" t="s">
        <v>54</v>
      </c>
      <c r="F7" s="11">
        <f>B30</f>
        <v>0</v>
      </c>
      <c r="G7" s="2"/>
      <c r="H7" s="2"/>
      <c r="I7" s="2"/>
      <c r="J7" s="2"/>
    </row>
    <row r="8">
      <c r="A8" s="6" t="s">
        <v>69</v>
      </c>
      <c r="B8" s="13"/>
      <c r="C8" s="9" t="s">
        <v>80</v>
      </c>
      <c r="D8" s="2"/>
      <c r="E8" s="6" t="s">
        <v>58</v>
      </c>
      <c r="F8" s="11">
        <f>B41</f>
        <v>0</v>
      </c>
      <c r="G8" s="2"/>
      <c r="H8" s="2"/>
      <c r="I8" s="2"/>
      <c r="J8" s="2"/>
    </row>
    <row r="9">
      <c r="A9" s="6" t="s">
        <v>50</v>
      </c>
      <c r="B9" s="13"/>
      <c r="C9" s="9" t="s">
        <v>53</v>
      </c>
      <c r="D9" s="2"/>
      <c r="E9" s="6" t="s">
        <v>84</v>
      </c>
      <c r="F9" s="11">
        <f t="shared" ref="F9:F12" si="1">N(B32)</f>
        <v>0</v>
      </c>
      <c r="G9" s="2"/>
      <c r="H9" s="2"/>
      <c r="I9" s="2"/>
      <c r="J9" s="2"/>
    </row>
    <row r="10">
      <c r="A10" s="6" t="s">
        <v>92</v>
      </c>
      <c r="B10" s="14"/>
      <c r="C10" s="2"/>
      <c r="D10" s="2"/>
      <c r="E10" s="6" t="s">
        <v>91</v>
      </c>
      <c r="F10" s="11">
        <f t="shared" si="1"/>
        <v>0</v>
      </c>
      <c r="G10" s="2"/>
      <c r="H10" s="2"/>
      <c r="I10" s="2"/>
      <c r="J10" s="2"/>
    </row>
    <row r="11">
      <c r="A11" s="6" t="s">
        <v>93</v>
      </c>
      <c r="B11" s="14"/>
      <c r="C11" s="2"/>
      <c r="D11" s="2"/>
      <c r="E11" s="6" t="s">
        <v>94</v>
      </c>
      <c r="F11" s="11">
        <f t="shared" si="1"/>
        <v>0</v>
      </c>
      <c r="G11" s="2"/>
      <c r="H11" s="2"/>
      <c r="I11" s="2"/>
      <c r="J11" s="2"/>
    </row>
    <row r="12">
      <c r="A12" s="4" t="s">
        <v>98</v>
      </c>
      <c r="B12" s="4"/>
      <c r="C12" s="4"/>
      <c r="D12" s="2"/>
      <c r="E12" s="6" t="s">
        <v>99</v>
      </c>
      <c r="F12" s="11">
        <f t="shared" si="1"/>
        <v>0</v>
      </c>
      <c r="G12" s="2"/>
      <c r="H12" s="2"/>
      <c r="I12" s="2"/>
      <c r="J12" s="2"/>
    </row>
    <row r="13">
      <c r="A13" s="6" t="s">
        <v>106</v>
      </c>
      <c r="B13" s="17"/>
      <c r="C13" s="9" t="s">
        <v>107</v>
      </c>
      <c r="D13" s="2"/>
      <c r="E13" s="6" t="s">
        <v>102</v>
      </c>
      <c r="F13" s="11">
        <f>IF(B8="",0,N('Shipment Setup'!Q24)*N(B37))</f>
        <v>0</v>
      </c>
      <c r="G13" s="2"/>
      <c r="H13" s="2"/>
      <c r="I13" s="2"/>
      <c r="J13" s="2"/>
    </row>
    <row r="14">
      <c r="A14" s="6" t="s">
        <v>95</v>
      </c>
      <c r="B14" s="14"/>
      <c r="C14" s="2"/>
      <c r="D14" s="2"/>
      <c r="E14" s="6" t="s">
        <v>105</v>
      </c>
      <c r="F14" s="11">
        <f t="shared" ref="F14:F15" si="2">N(B38)</f>
        <v>0</v>
      </c>
      <c r="G14" s="2"/>
      <c r="H14" s="2"/>
      <c r="I14" s="2"/>
      <c r="J14" s="2"/>
    </row>
    <row r="15">
      <c r="A15" s="6" t="s">
        <v>97</v>
      </c>
      <c r="B15" s="17"/>
      <c r="C15" s="2"/>
      <c r="D15" s="2"/>
      <c r="E15" s="6" t="s">
        <v>109</v>
      </c>
      <c r="F15" s="11">
        <f t="shared" si="2"/>
        <v>0</v>
      </c>
      <c r="G15" s="2"/>
      <c r="H15" s="2"/>
      <c r="I15" s="2"/>
      <c r="J15" s="2"/>
    </row>
    <row r="16">
      <c r="A16" s="6" t="s">
        <v>101</v>
      </c>
      <c r="B16" s="17"/>
      <c r="C16" s="2"/>
      <c r="D16" s="2"/>
      <c r="E16" s="21" t="s">
        <v>111</v>
      </c>
      <c r="F16" s="23">
        <f>SUM(F5:F15)</f>
        <v>0</v>
      </c>
      <c r="G16" s="2"/>
      <c r="H16" s="2"/>
      <c r="I16" s="2"/>
      <c r="J16" s="2"/>
    </row>
    <row r="17">
      <c r="A17" s="6" t="s">
        <v>104</v>
      </c>
      <c r="B17" s="17"/>
      <c r="C17" s="2"/>
      <c r="D17" s="2"/>
      <c r="E17" s="21" t="s">
        <v>113</v>
      </c>
      <c r="F17" s="23">
        <f>IF(N('Shipment Setup'!B24)&gt;0,F16/'Shipment Setup'!B24,0)</f>
        <v>0</v>
      </c>
      <c r="G17" s="2"/>
      <c r="H17" s="2"/>
      <c r="I17" s="2"/>
      <c r="J17" s="2"/>
    </row>
    <row r="18">
      <c r="A18" s="6" t="s">
        <v>108</v>
      </c>
      <c r="B18" s="17"/>
      <c r="C18" s="2"/>
      <c r="D18" s="2"/>
      <c r="E18" s="6" t="s">
        <v>114</v>
      </c>
      <c r="F18" s="20">
        <f>N(B10)+N(B11)</f>
        <v>0</v>
      </c>
      <c r="G18" s="2"/>
      <c r="H18" s="2"/>
      <c r="I18" s="2"/>
      <c r="J18" s="2"/>
    </row>
    <row r="19">
      <c r="A19" s="6" t="s">
        <v>110</v>
      </c>
      <c r="B19" s="20">
        <f>MAX('Shipment Setup'!H24,'Shipment Setup'!F24*'Rate Card'!B7)</f>
        <v>0</v>
      </c>
      <c r="C19" s="9" t="s">
        <v>115</v>
      </c>
      <c r="D19" s="2"/>
      <c r="E19" s="6" t="s">
        <v>116</v>
      </c>
      <c r="F19" s="11">
        <f>IF('Shipment Setup'!B8="Yes",F16*N('Shipment Setup'!B9)*F18/365,0)</f>
        <v>0</v>
      </c>
      <c r="G19" s="2"/>
      <c r="H19" s="2"/>
      <c r="I19" s="2"/>
      <c r="J19" s="2"/>
    </row>
    <row r="20">
      <c r="A20" s="6" t="s">
        <v>118</v>
      </c>
      <c r="B20" s="11">
        <f>IF(B8="DDP",N(B13),IF(B9="FCL",N(B14)*N(B15),IF(B9="LCL",MAX(N(B17),'Shipment Setup'!F24*N(B16)),IF(B9="Air",B19*N(B18),0))))</f>
        <v>0</v>
      </c>
      <c r="C20" s="2"/>
      <c r="D20" s="2"/>
      <c r="E20" s="6" t="s">
        <v>120</v>
      </c>
      <c r="F20" s="11">
        <f>F16+F19</f>
        <v>0</v>
      </c>
      <c r="G20" s="2"/>
      <c r="H20" s="2"/>
      <c r="I20" s="2"/>
      <c r="J20" s="2"/>
    </row>
    <row r="21">
      <c r="A21" s="4" t="s">
        <v>122</v>
      </c>
      <c r="B21" s="4"/>
      <c r="C21" s="4"/>
      <c r="D21" s="2"/>
      <c r="E21" s="6" t="s">
        <v>123</v>
      </c>
      <c r="F21" s="11">
        <f>IF(N('Shipment Setup'!B24)&gt;0,F20/'Shipment Setup'!B24,0)</f>
        <v>0</v>
      </c>
      <c r="G21" s="2"/>
      <c r="H21" s="2"/>
      <c r="I21" s="2"/>
      <c r="J21" s="2"/>
    </row>
    <row r="22">
      <c r="A22" s="6" t="s">
        <v>125</v>
      </c>
      <c r="B22" s="17"/>
      <c r="C22" s="2"/>
      <c r="D22" s="2"/>
      <c r="E22" s="2"/>
      <c r="F22" s="2"/>
      <c r="G22" s="2"/>
      <c r="H22" s="2"/>
      <c r="I22" s="2"/>
      <c r="J22" s="2"/>
    </row>
    <row r="23">
      <c r="A23" s="6" t="s">
        <v>126</v>
      </c>
      <c r="B23" s="17"/>
      <c r="C23" s="2"/>
      <c r="D23" s="2"/>
      <c r="E23" s="4" t="s">
        <v>127</v>
      </c>
      <c r="F23" s="4"/>
      <c r="G23" s="4"/>
      <c r="H23" s="4"/>
      <c r="I23" s="4"/>
      <c r="J23" s="4"/>
    </row>
    <row r="24">
      <c r="A24" s="6" t="s">
        <v>128</v>
      </c>
      <c r="B24" s="17"/>
      <c r="C24" s="2"/>
      <c r="D24" s="2"/>
      <c r="E24" s="16" t="s">
        <v>129</v>
      </c>
      <c r="F24" s="16" t="s">
        <v>60</v>
      </c>
      <c r="G24" s="16" t="s">
        <v>130</v>
      </c>
      <c r="H24" s="16" t="s">
        <v>131</v>
      </c>
      <c r="I24" s="16" t="s">
        <v>132</v>
      </c>
      <c r="J24" s="16" t="s">
        <v>133</v>
      </c>
    </row>
    <row r="25">
      <c r="A25" s="6" t="s">
        <v>134</v>
      </c>
      <c r="B25" s="11">
        <f>IF(B8="EXW",SUM(B22:B24),0)</f>
        <v>0</v>
      </c>
      <c r="C25" s="2"/>
      <c r="D25" s="2"/>
      <c r="E25" s="6" t="s">
        <v>136</v>
      </c>
      <c r="F25" s="20">
        <f>'Shipment Setup'!P24</f>
        <v>500</v>
      </c>
      <c r="G25" s="11">
        <f>IFERROR($F$43*I25/SUMPRODUCT('Shipment Setup'!B14:B23,'Shipment Setup'!X14:X23),0)+J25+IF($B$8="DDP",0,SUMPRODUCT('Shipment Setup'!P14:P23,'Shipment Setup'!W14:W23))</f>
        <v>0</v>
      </c>
      <c r="H25" s="11">
        <f t="shared" ref="H25:H28" si="3">IF(F25&gt;0,G25/F25,0)</f>
        <v>0</v>
      </c>
      <c r="I25" s="26">
        <f>SUMPRODUCT('Shipment Setup'!P14:P23,'Shipment Setup'!X14:X23)</f>
        <v>0</v>
      </c>
      <c r="J25" s="11">
        <f>F9</f>
        <v>0</v>
      </c>
    </row>
    <row r="26">
      <c r="A26" s="4" t="s">
        <v>141</v>
      </c>
      <c r="B26" s="4"/>
      <c r="C26" s="4"/>
      <c r="D26" s="2"/>
      <c r="E26" s="6" t="s">
        <v>142</v>
      </c>
      <c r="F26" s="20">
        <f>'Shipment Setup'!Q24</f>
        <v>250</v>
      </c>
      <c r="G26" s="11">
        <f>IFERROR($F$43*I26/SUMPRODUCT('Shipment Setup'!B14:B23,'Shipment Setup'!X14:X23),0)+J26+IF($B$8="DDP",0,SUMPRODUCT('Shipment Setup'!Q14:Q23,'Shipment Setup'!W14:W23))</f>
        <v>0</v>
      </c>
      <c r="H26" s="11">
        <f t="shared" si="3"/>
        <v>0</v>
      </c>
      <c r="I26" s="26">
        <f>SUMPRODUCT('Shipment Setup'!Q14:Q23,'Shipment Setup'!X14:X23)</f>
        <v>0</v>
      </c>
      <c r="J26" s="11">
        <f>F10+F13</f>
        <v>0</v>
      </c>
    </row>
    <row r="27">
      <c r="A27" s="6" t="s">
        <v>144</v>
      </c>
      <c r="B27" s="17"/>
      <c r="C27" s="2"/>
      <c r="D27" s="2"/>
      <c r="E27" s="6" t="s">
        <v>145</v>
      </c>
      <c r="F27" s="20">
        <f>'Shipment Setup'!R24</f>
        <v>100</v>
      </c>
      <c r="G27" s="11">
        <f>IFERROR($F$43*I27/SUMPRODUCT('Shipment Setup'!B14:B23,'Shipment Setup'!X14:X23),0)+J27+IF($B$8="DDP",0,SUMPRODUCT('Shipment Setup'!R14:R23,'Shipment Setup'!W14:W23))</f>
        <v>0</v>
      </c>
      <c r="H27" s="11">
        <f t="shared" si="3"/>
        <v>0</v>
      </c>
      <c r="I27" s="26">
        <f>SUMPRODUCT('Shipment Setup'!R14:R23,'Shipment Setup'!X14:X23)</f>
        <v>0</v>
      </c>
      <c r="J27" s="11">
        <f t="shared" ref="J27:J28" si="4">F11</f>
        <v>0</v>
      </c>
    </row>
    <row r="28">
      <c r="A28" s="6" t="s">
        <v>121</v>
      </c>
      <c r="B28" s="17"/>
      <c r="C28" s="2"/>
      <c r="D28" s="2"/>
      <c r="E28" s="6" t="s">
        <v>147</v>
      </c>
      <c r="F28" s="20">
        <f>'Shipment Setup'!S24</f>
        <v>150</v>
      </c>
      <c r="G28" s="11">
        <f>IFERROR($F$43*I28/SUMPRODUCT('Shipment Setup'!B14:B23,'Shipment Setup'!X14:X23),0)+J28+IF($B$8="DDP",0,SUMPRODUCT('Shipment Setup'!S14:S23,'Shipment Setup'!W14:W23))</f>
        <v>0</v>
      </c>
      <c r="H28" s="11">
        <f t="shared" si="3"/>
        <v>0</v>
      </c>
      <c r="I28" s="26">
        <f>SUMPRODUCT('Shipment Setup'!S14:S23,'Shipment Setup'!X14:X23)</f>
        <v>0</v>
      </c>
      <c r="J28" s="11">
        <f t="shared" si="4"/>
        <v>0</v>
      </c>
    </row>
    <row r="29">
      <c r="A29" s="6" t="s">
        <v>124</v>
      </c>
      <c r="B29" s="17"/>
      <c r="C29" s="2"/>
      <c r="D29" s="2"/>
      <c r="E29" s="2"/>
      <c r="F29" s="2"/>
      <c r="G29" s="2"/>
      <c r="H29" s="2"/>
      <c r="I29" s="2"/>
      <c r="J29" s="2"/>
    </row>
    <row r="30">
      <c r="A30" s="6" t="s">
        <v>150</v>
      </c>
      <c r="B30" s="11">
        <f>IF(B8="DDP",0,SUM(B27:B29))</f>
        <v>0</v>
      </c>
      <c r="C30" s="2"/>
      <c r="D30" s="2"/>
      <c r="E30" s="4" t="s">
        <v>151</v>
      </c>
      <c r="F30" s="4"/>
      <c r="G30" s="4"/>
      <c r="H30" s="4"/>
      <c r="I30" s="2"/>
      <c r="J30" s="2"/>
    </row>
    <row r="31">
      <c r="A31" s="4" t="s">
        <v>152</v>
      </c>
      <c r="B31" s="4"/>
      <c r="C31" s="4"/>
      <c r="D31" s="2"/>
      <c r="E31" s="16" t="s">
        <v>59</v>
      </c>
      <c r="F31" s="16" t="s">
        <v>60</v>
      </c>
      <c r="G31" s="16" t="s">
        <v>130</v>
      </c>
      <c r="H31" s="16" t="s">
        <v>131</v>
      </c>
      <c r="I31" s="2"/>
      <c r="J31" s="2"/>
    </row>
    <row r="32">
      <c r="A32" s="6" t="s">
        <v>153</v>
      </c>
      <c r="B32" s="17"/>
      <c r="C32" s="2"/>
      <c r="D32" s="2"/>
      <c r="E32" s="6" t="str">
        <f>IF('Shipment Setup'!A14="","",'Shipment Setup'!A14)</f>
        <v>Classic Food Mill</v>
      </c>
      <c r="F32" s="20">
        <f>N('Shipment Setup'!B14)</f>
        <v>1000</v>
      </c>
      <c r="G32" s="11">
        <f>IF(N('Shipment Setup'!B14)&gt;0,$F$43*'Shipment Setup'!Y14+IF($B$8="DDP",0,'Shipment Setup'!O14)+IFERROR('Shipment Setup'!P14*'Shipment Setup'!X14/$I$25,0)*$J$25+IFERROR('Shipment Setup'!Q14*'Shipment Setup'!X14/$I$26,0)*$J$26+IFERROR('Shipment Setup'!R14*'Shipment Setup'!X14/$I$27,0)*$J$27+IFERROR('Shipment Setup'!S14*'Shipment Setup'!X14/$I$28,0)*$J$28,0)</f>
        <v>0</v>
      </c>
      <c r="H32" s="11">
        <f t="shared" ref="H32:H41" si="5">IF(F32&gt;0,G32/F32,0)</f>
        <v>0</v>
      </c>
      <c r="I32" s="2"/>
      <c r="J32" s="2"/>
    </row>
    <row r="33">
      <c r="A33" s="6" t="s">
        <v>155</v>
      </c>
      <c r="B33" s="17"/>
      <c r="C33" s="2"/>
      <c r="D33" s="2"/>
      <c r="E33" s="6" t="str">
        <f>IF('Shipment Setup'!A15="","",'Shipment Setup'!A15)</f>
        <v/>
      </c>
      <c r="F33" s="20">
        <f>N('Shipment Setup'!B15)</f>
        <v>0</v>
      </c>
      <c r="G33" s="11">
        <f>IF(N('Shipment Setup'!B15)&gt;0,$F$43*'Shipment Setup'!Y15+IF($B$8="DDP",0,'Shipment Setup'!O15)+IFERROR('Shipment Setup'!P15*'Shipment Setup'!X15/$I$25,0)*$J$25+IFERROR('Shipment Setup'!Q15*'Shipment Setup'!X15/$I$26,0)*$J$26+IFERROR('Shipment Setup'!R15*'Shipment Setup'!X15/$I$27,0)*$J$27+IFERROR('Shipment Setup'!S15*'Shipment Setup'!X15/$I$28,0)*$J$28,0)</f>
        <v>0</v>
      </c>
      <c r="H33" s="11">
        <f t="shared" si="5"/>
        <v>0</v>
      </c>
      <c r="I33" s="2"/>
      <c r="J33" s="2"/>
    </row>
    <row r="34">
      <c r="A34" s="6" t="s">
        <v>161</v>
      </c>
      <c r="B34" s="17"/>
      <c r="C34" s="2"/>
      <c r="D34" s="2"/>
      <c r="E34" s="6" t="str">
        <f>IF('Shipment Setup'!A16="","",'Shipment Setup'!A16)</f>
        <v/>
      </c>
      <c r="F34" s="20">
        <f>N('Shipment Setup'!B16)</f>
        <v>0</v>
      </c>
      <c r="G34" s="11">
        <f>IF(N('Shipment Setup'!B16)&gt;0,$F$43*'Shipment Setup'!Y16+IF($B$8="DDP",0,'Shipment Setup'!O16)+IFERROR('Shipment Setup'!P16*'Shipment Setup'!X16/$I$25,0)*$J$25+IFERROR('Shipment Setup'!Q16*'Shipment Setup'!X16/$I$26,0)*$J$26+IFERROR('Shipment Setup'!R16*'Shipment Setup'!X16/$I$27,0)*$J$27+IFERROR('Shipment Setup'!S16*'Shipment Setup'!X16/$I$28,0)*$J$28,0)</f>
        <v>0</v>
      </c>
      <c r="H34" s="11">
        <f t="shared" si="5"/>
        <v>0</v>
      </c>
      <c r="I34" s="2"/>
      <c r="J34" s="2"/>
    </row>
    <row r="35">
      <c r="A35" s="6" t="s">
        <v>162</v>
      </c>
      <c r="B35" s="17"/>
      <c r="C35" s="2"/>
      <c r="D35" s="2"/>
      <c r="E35" s="6" t="str">
        <f>IF('Shipment Setup'!A17="","",'Shipment Setup'!A17)</f>
        <v/>
      </c>
      <c r="F35" s="20">
        <f>N('Shipment Setup'!B17)</f>
        <v>0</v>
      </c>
      <c r="G35" s="11">
        <f>IF(N('Shipment Setup'!B17)&gt;0,$F$43*'Shipment Setup'!Y17+IF($B$8="DDP",0,'Shipment Setup'!O17)+IFERROR('Shipment Setup'!P17*'Shipment Setup'!X17/$I$25,0)*$J$25+IFERROR('Shipment Setup'!Q17*'Shipment Setup'!X17/$I$26,0)*$J$26+IFERROR('Shipment Setup'!R17*'Shipment Setup'!X17/$I$27,0)*$J$27+IFERROR('Shipment Setup'!S17*'Shipment Setup'!X17/$I$28,0)*$J$28,0)</f>
        <v>0</v>
      </c>
      <c r="H35" s="11">
        <f t="shared" si="5"/>
        <v>0</v>
      </c>
      <c r="I35" s="2"/>
      <c r="J35" s="2"/>
    </row>
    <row r="36">
      <c r="A36" s="4" t="s">
        <v>164</v>
      </c>
      <c r="B36" s="4"/>
      <c r="C36" s="4"/>
      <c r="D36" s="2"/>
      <c r="E36" s="6" t="str">
        <f>IF('Shipment Setup'!A18="","",'Shipment Setup'!A18)</f>
        <v/>
      </c>
      <c r="F36" s="20">
        <f>N('Shipment Setup'!B18)</f>
        <v>0</v>
      </c>
      <c r="G36" s="11">
        <f>IF(N('Shipment Setup'!B18)&gt;0,$F$43*'Shipment Setup'!Y18+IF($B$8="DDP",0,'Shipment Setup'!O18)+IFERROR('Shipment Setup'!P18*'Shipment Setup'!X18/$I$25,0)*$J$25+IFERROR('Shipment Setup'!Q18*'Shipment Setup'!X18/$I$26,0)*$J$26+IFERROR('Shipment Setup'!R18*'Shipment Setup'!X18/$I$27,0)*$J$27+IFERROR('Shipment Setup'!S18*'Shipment Setup'!X18/$I$28,0)*$J$28,0)</f>
        <v>0</v>
      </c>
      <c r="H36" s="11">
        <f t="shared" si="5"/>
        <v>0</v>
      </c>
      <c r="I36" s="2"/>
      <c r="J36" s="2"/>
    </row>
    <row r="37">
      <c r="A37" s="6" t="s">
        <v>166</v>
      </c>
      <c r="B37" s="17">
        <f>'Rate Card'!B5</f>
        <v>0.5</v>
      </c>
      <c r="C37" s="9" t="s">
        <v>167</v>
      </c>
      <c r="D37" s="2"/>
      <c r="E37" s="6" t="str">
        <f>IF('Shipment Setup'!A19="","",'Shipment Setup'!A19)</f>
        <v/>
      </c>
      <c r="F37" s="20">
        <f>N('Shipment Setup'!B19)</f>
        <v>0</v>
      </c>
      <c r="G37" s="11">
        <f>IF(N('Shipment Setup'!B19)&gt;0,$F$43*'Shipment Setup'!Y19+IF($B$8="DDP",0,'Shipment Setup'!O19)+IFERROR('Shipment Setup'!P19*'Shipment Setup'!X19/$I$25,0)*$J$25+IFERROR('Shipment Setup'!Q19*'Shipment Setup'!X19/$I$26,0)*$J$26+IFERROR('Shipment Setup'!R19*'Shipment Setup'!X19/$I$27,0)*$J$27+IFERROR('Shipment Setup'!S19*'Shipment Setup'!X19/$I$28,0)*$J$28,0)</f>
        <v>0</v>
      </c>
      <c r="H37" s="11">
        <f t="shared" si="5"/>
        <v>0</v>
      </c>
      <c r="I37" s="2"/>
      <c r="J37" s="2"/>
    </row>
    <row r="38">
      <c r="A38" s="6" t="s">
        <v>168</v>
      </c>
      <c r="B38" s="17"/>
      <c r="C38" s="2"/>
      <c r="D38" s="2"/>
      <c r="E38" s="6" t="str">
        <f>IF('Shipment Setup'!A20="","",'Shipment Setup'!A20)</f>
        <v/>
      </c>
      <c r="F38" s="20">
        <f>N('Shipment Setup'!B20)</f>
        <v>0</v>
      </c>
      <c r="G38" s="11">
        <f>IF(N('Shipment Setup'!B20)&gt;0,$F$43*'Shipment Setup'!Y20+IF($B$8="DDP",0,'Shipment Setup'!O20)+IFERROR('Shipment Setup'!P20*'Shipment Setup'!X20/$I$25,0)*$J$25+IFERROR('Shipment Setup'!Q20*'Shipment Setup'!X20/$I$26,0)*$J$26+IFERROR('Shipment Setup'!R20*'Shipment Setup'!X20/$I$27,0)*$J$27+IFERROR('Shipment Setup'!S20*'Shipment Setup'!X20/$I$28,0)*$J$28,0)</f>
        <v>0</v>
      </c>
      <c r="H38" s="11">
        <f t="shared" si="5"/>
        <v>0</v>
      </c>
      <c r="I38" s="2"/>
      <c r="J38" s="2"/>
    </row>
    <row r="39">
      <c r="A39" s="6" t="s">
        <v>157</v>
      </c>
      <c r="B39" s="17"/>
      <c r="C39" s="2"/>
      <c r="D39" s="2"/>
      <c r="E39" s="6" t="str">
        <f>IF('Shipment Setup'!A21="","",'Shipment Setup'!A21)</f>
        <v/>
      </c>
      <c r="F39" s="20">
        <f>N('Shipment Setup'!B21)</f>
        <v>0</v>
      </c>
      <c r="G39" s="11">
        <f>IF(N('Shipment Setup'!B21)&gt;0,$F$43*'Shipment Setup'!Y21+IF($B$8="DDP",0,'Shipment Setup'!O21)+IFERROR('Shipment Setup'!P21*'Shipment Setup'!X21/$I$25,0)*$J$25+IFERROR('Shipment Setup'!Q21*'Shipment Setup'!X21/$I$26,0)*$J$26+IFERROR('Shipment Setup'!R21*'Shipment Setup'!X21/$I$27,0)*$J$27+IFERROR('Shipment Setup'!S21*'Shipment Setup'!X21/$I$28,0)*$J$28,0)</f>
        <v>0</v>
      </c>
      <c r="H39" s="11">
        <f t="shared" si="5"/>
        <v>0</v>
      </c>
      <c r="I39" s="2"/>
      <c r="J39" s="2"/>
    </row>
    <row r="40">
      <c r="A40" s="4" t="s">
        <v>169</v>
      </c>
      <c r="B40" s="4"/>
      <c r="C40" s="4"/>
      <c r="D40" s="2"/>
      <c r="E40" s="6" t="str">
        <f>IF('Shipment Setup'!A22="","",'Shipment Setup'!A22)</f>
        <v/>
      </c>
      <c r="F40" s="20">
        <f>N('Shipment Setup'!B22)</f>
        <v>0</v>
      </c>
      <c r="G40" s="11">
        <f>IF(N('Shipment Setup'!B22)&gt;0,$F$43*'Shipment Setup'!Y22+IF($B$8="DDP",0,'Shipment Setup'!O22)+IFERROR('Shipment Setup'!P22*'Shipment Setup'!X22/$I$25,0)*$J$25+IFERROR('Shipment Setup'!Q22*'Shipment Setup'!X22/$I$26,0)*$J$26+IFERROR('Shipment Setup'!R22*'Shipment Setup'!X22/$I$27,0)*$J$27+IFERROR('Shipment Setup'!S22*'Shipment Setup'!X22/$I$28,0)*$J$28,0)</f>
        <v>0</v>
      </c>
      <c r="H40" s="11">
        <f t="shared" si="5"/>
        <v>0</v>
      </c>
      <c r="I40" s="2"/>
      <c r="J40" s="2"/>
    </row>
    <row r="41">
      <c r="A41" s="6" t="s">
        <v>135</v>
      </c>
      <c r="B41" s="11">
        <f>IF(OR(B8="",B8="DDP"),0,'Shipment Setup'!O24)</f>
        <v>0</v>
      </c>
      <c r="C41" s="9" t="s">
        <v>170</v>
      </c>
      <c r="D41" s="2"/>
      <c r="E41" s="6" t="str">
        <f>IF('Shipment Setup'!A23="","",'Shipment Setup'!A23)</f>
        <v/>
      </c>
      <c r="F41" s="20">
        <f>N('Shipment Setup'!B23)</f>
        <v>0</v>
      </c>
      <c r="G41" s="11">
        <f>IF(N('Shipment Setup'!B23)&gt;0,$F$43*'Shipment Setup'!Y23+IF($B$8="DDP",0,'Shipment Setup'!O23)+IFERROR('Shipment Setup'!P23*'Shipment Setup'!X23/$I$25,0)*$J$25+IFERROR('Shipment Setup'!Q23*'Shipment Setup'!X23/$I$26,0)*$J$26+IFERROR('Shipment Setup'!R23*'Shipment Setup'!X23/$I$27,0)*$J$27+IFERROR('Shipment Setup'!S23*'Shipment Setup'!X23/$I$28,0)*$J$28,0)</f>
        <v>0</v>
      </c>
      <c r="H41" s="11">
        <f t="shared" si="5"/>
        <v>0</v>
      </c>
      <c r="I41" s="2"/>
      <c r="J41" s="2"/>
    </row>
    <row r="42">
      <c r="A42" s="2"/>
      <c r="B42" s="2"/>
      <c r="C42" s="2"/>
      <c r="D42" s="2"/>
      <c r="E42" s="2"/>
      <c r="F42" s="2"/>
      <c r="G42" s="2"/>
      <c r="H42" s="2"/>
      <c r="I42" s="2"/>
      <c r="J42" s="2"/>
    </row>
    <row r="43">
      <c r="A43" s="2"/>
      <c r="B43" s="2"/>
      <c r="C43" s="2"/>
      <c r="D43" s="2"/>
      <c r="E43" s="9" t="s">
        <v>171</v>
      </c>
      <c r="F43" s="11">
        <f>F5+F6+F7+F14+F15</f>
        <v>0</v>
      </c>
      <c r="G43" s="2"/>
      <c r="H43" s="2"/>
      <c r="I43" s="2"/>
      <c r="J43" s="2"/>
    </row>
  </sheetData>
  <conditionalFormatting sqref="A41:B41">
    <cfRule type="expression" dxfId="0" priority="1" stopIfTrue="1">
      <formula>$B$8="DDP"</formula>
    </cfRule>
  </conditionalFormatting>
  <conditionalFormatting sqref="A27:B30">
    <cfRule type="expression" dxfId="0" priority="2" stopIfTrue="1">
      <formula>$B$8="DDP"</formula>
    </cfRule>
  </conditionalFormatting>
  <conditionalFormatting sqref="A22:B25">
    <cfRule type="expression" dxfId="0" priority="3" stopIfTrue="1">
      <formula>$B$8&lt;&gt;"EXW"</formula>
    </cfRule>
  </conditionalFormatting>
  <conditionalFormatting sqref="A20:B20">
    <cfRule type="expression" dxfId="0" priority="4" stopIfTrue="1">
      <formula>$B$8="DDP"</formula>
    </cfRule>
  </conditionalFormatting>
  <conditionalFormatting sqref="A18:B19">
    <cfRule type="expression" dxfId="0" priority="5" stopIfTrue="1">
      <formula>OR($B$8="DDP",$B$9&lt;&gt;"Air")</formula>
    </cfRule>
  </conditionalFormatting>
  <conditionalFormatting sqref="A16:B17">
    <cfRule type="expression" dxfId="0" priority="6" stopIfTrue="1">
      <formula>OR($B$8="DDP",$B$9&lt;&gt;"LCL")</formula>
    </cfRule>
  </conditionalFormatting>
  <conditionalFormatting sqref="A14:B15">
    <cfRule type="expression" dxfId="0" priority="7" stopIfTrue="1">
      <formula>OR($B$8="DDP",$B$9&lt;&gt;"FCL")</formula>
    </cfRule>
  </conditionalFormatting>
  <conditionalFormatting sqref="A13:B13">
    <cfRule type="expression" dxfId="0" priority="8" stopIfTrue="1">
      <formula>$B$8&lt;&gt;"DDP"</formula>
    </cfRule>
  </conditionalFormatting>
  <dataValidations>
    <dataValidation type="custom" allowBlank="1" showDropDown="1" sqref="B7">
      <formula1>OR(NOT(ISERROR(DATEVALUE(B7))), AND(ISNUMBER(B7), LEFT(CELL("format", B7))="D"))</formula1>
    </dataValidation>
    <dataValidation type="list" allowBlank="1" sqref="B8">
      <formula1>"EXW,FOB,DDP"</formula1>
    </dataValidation>
    <dataValidation type="list" allowBlank="1" sqref="B9">
      <formula1>"FCL,LCL,Air"</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15334"/>
    <outlinePr summaryBelow="0" summaryRight="0"/>
  </sheetPr>
  <sheetViews>
    <sheetView showGridLines="0" workbookViewId="0"/>
  </sheetViews>
  <sheetFormatPr customHeight="1" defaultColWidth="12.63" defaultRowHeight="15.75" outlineLevelCol="1"/>
  <cols>
    <col customWidth="1" min="1" max="1" width="35.13"/>
    <col customWidth="1" min="2" max="2" width="16.38"/>
    <col customWidth="1" min="3" max="3" width="33.88"/>
    <col customWidth="1" min="4" max="4" width="2.63"/>
    <col customWidth="1" min="5" max="5" width="37.63"/>
    <col customWidth="1" min="6" max="7" width="13.88"/>
    <col customWidth="1" min="8" max="8" width="12.63"/>
    <col customWidth="1" min="9" max="9" width="11.38"/>
    <col customWidth="1" min="10" max="10" width="12.63"/>
  </cols>
  <sheetData>
    <row r="1">
      <c r="A1" s="1" t="s">
        <v>173</v>
      </c>
      <c r="B1" s="2"/>
      <c r="C1" s="2"/>
      <c r="D1" s="2"/>
      <c r="E1" s="2"/>
      <c r="F1" s="2"/>
      <c r="G1" s="2"/>
      <c r="H1" s="2"/>
      <c r="I1" s="2"/>
      <c r="J1" s="2"/>
    </row>
    <row r="2">
      <c r="A2" s="3" t="s">
        <v>48</v>
      </c>
      <c r="B2" s="2"/>
      <c r="C2" s="2"/>
      <c r="D2" s="2"/>
      <c r="E2" s="2"/>
      <c r="F2" s="2"/>
      <c r="G2" s="2"/>
      <c r="H2" s="2"/>
      <c r="I2" s="2"/>
      <c r="J2" s="2"/>
    </row>
    <row r="3">
      <c r="A3" s="2"/>
      <c r="B3" s="2"/>
      <c r="C3" s="2"/>
      <c r="D3" s="2"/>
      <c r="E3" s="2"/>
      <c r="F3" s="2"/>
      <c r="G3" s="2"/>
      <c r="H3" s="2"/>
      <c r="I3" s="2"/>
      <c r="J3" s="2"/>
    </row>
    <row r="4">
      <c r="A4" s="4" t="s">
        <v>49</v>
      </c>
      <c r="B4" s="4"/>
      <c r="C4" s="4"/>
      <c r="D4" s="2"/>
      <c r="E4" s="4" t="s">
        <v>8</v>
      </c>
      <c r="F4" s="4"/>
      <c r="G4" s="4"/>
      <c r="H4" s="4"/>
      <c r="I4" s="2"/>
      <c r="J4" s="2"/>
    </row>
    <row r="5">
      <c r="A5" s="6" t="s">
        <v>51</v>
      </c>
      <c r="B5" s="7"/>
      <c r="C5" s="2"/>
      <c r="D5" s="2"/>
      <c r="E5" s="6" t="s">
        <v>25</v>
      </c>
      <c r="F5" s="11">
        <f>B20</f>
        <v>0</v>
      </c>
      <c r="G5" s="2"/>
      <c r="H5" s="2"/>
      <c r="I5" s="2"/>
      <c r="J5" s="2"/>
    </row>
    <row r="6">
      <c r="A6" s="6" t="s">
        <v>56</v>
      </c>
      <c r="B6" s="7"/>
      <c r="C6" s="2"/>
      <c r="D6" s="2"/>
      <c r="E6" s="6" t="s">
        <v>46</v>
      </c>
      <c r="F6" s="11">
        <f>B25</f>
        <v>0</v>
      </c>
      <c r="G6" s="2"/>
      <c r="H6" s="2"/>
      <c r="I6" s="2"/>
      <c r="J6" s="2"/>
    </row>
    <row r="7">
      <c r="A7" s="6" t="s">
        <v>44</v>
      </c>
      <c r="B7" s="10"/>
      <c r="C7" s="2"/>
      <c r="D7" s="2"/>
      <c r="E7" s="6" t="s">
        <v>54</v>
      </c>
      <c r="F7" s="11">
        <f>B30</f>
        <v>0</v>
      </c>
      <c r="G7" s="2"/>
      <c r="H7" s="2"/>
      <c r="I7" s="2"/>
      <c r="J7" s="2"/>
    </row>
    <row r="8">
      <c r="A8" s="6" t="s">
        <v>69</v>
      </c>
      <c r="B8" s="13"/>
      <c r="C8" s="9" t="s">
        <v>80</v>
      </c>
      <c r="D8" s="2"/>
      <c r="E8" s="6" t="s">
        <v>58</v>
      </c>
      <c r="F8" s="11">
        <f>B41</f>
        <v>0</v>
      </c>
      <c r="G8" s="2"/>
      <c r="H8" s="2"/>
      <c r="I8" s="2"/>
      <c r="J8" s="2"/>
    </row>
    <row r="9">
      <c r="A9" s="6" t="s">
        <v>50</v>
      </c>
      <c r="B9" s="13"/>
      <c r="C9" s="9" t="s">
        <v>53</v>
      </c>
      <c r="D9" s="2"/>
      <c r="E9" s="6" t="s">
        <v>84</v>
      </c>
      <c r="F9" s="11">
        <f t="shared" ref="F9:F12" si="1">N(B32)</f>
        <v>0</v>
      </c>
      <c r="G9" s="2"/>
      <c r="H9" s="2"/>
      <c r="I9" s="2"/>
      <c r="J9" s="2"/>
    </row>
    <row r="10">
      <c r="A10" s="6" t="s">
        <v>92</v>
      </c>
      <c r="B10" s="14"/>
      <c r="C10" s="2"/>
      <c r="D10" s="2"/>
      <c r="E10" s="6" t="s">
        <v>91</v>
      </c>
      <c r="F10" s="11">
        <f t="shared" si="1"/>
        <v>0</v>
      </c>
      <c r="G10" s="2"/>
      <c r="H10" s="2"/>
      <c r="I10" s="2"/>
      <c r="J10" s="2"/>
    </row>
    <row r="11">
      <c r="A11" s="6" t="s">
        <v>93</v>
      </c>
      <c r="B11" s="14"/>
      <c r="C11" s="2"/>
      <c r="D11" s="2"/>
      <c r="E11" s="6" t="s">
        <v>94</v>
      </c>
      <c r="F11" s="11">
        <f t="shared" si="1"/>
        <v>0</v>
      </c>
      <c r="G11" s="2"/>
      <c r="H11" s="2"/>
      <c r="I11" s="2"/>
      <c r="J11" s="2"/>
    </row>
    <row r="12">
      <c r="A12" s="4" t="s">
        <v>98</v>
      </c>
      <c r="B12" s="4"/>
      <c r="C12" s="4"/>
      <c r="D12" s="2"/>
      <c r="E12" s="6" t="s">
        <v>99</v>
      </c>
      <c r="F12" s="11">
        <f t="shared" si="1"/>
        <v>0</v>
      </c>
      <c r="G12" s="2"/>
      <c r="H12" s="2"/>
      <c r="I12" s="2"/>
      <c r="J12" s="2"/>
    </row>
    <row r="13">
      <c r="A13" s="6" t="s">
        <v>106</v>
      </c>
      <c r="B13" s="17"/>
      <c r="C13" s="9" t="s">
        <v>107</v>
      </c>
      <c r="D13" s="2"/>
      <c r="E13" s="6" t="s">
        <v>102</v>
      </c>
      <c r="F13" s="11">
        <f>IF(B8="",0,N('Shipment Setup'!Q24)*N(B37))</f>
        <v>0</v>
      </c>
      <c r="G13" s="2"/>
      <c r="H13" s="2"/>
      <c r="I13" s="2"/>
      <c r="J13" s="2"/>
    </row>
    <row r="14">
      <c r="A14" s="6" t="s">
        <v>95</v>
      </c>
      <c r="B14" s="14"/>
      <c r="C14" s="2"/>
      <c r="D14" s="2"/>
      <c r="E14" s="6" t="s">
        <v>105</v>
      </c>
      <c r="F14" s="11">
        <f t="shared" ref="F14:F15" si="2">N(B38)</f>
        <v>0</v>
      </c>
      <c r="G14" s="2"/>
      <c r="H14" s="2"/>
      <c r="I14" s="2"/>
      <c r="J14" s="2"/>
    </row>
    <row r="15">
      <c r="A15" s="6" t="s">
        <v>97</v>
      </c>
      <c r="B15" s="17"/>
      <c r="C15" s="2"/>
      <c r="D15" s="2"/>
      <c r="E15" s="6" t="s">
        <v>109</v>
      </c>
      <c r="F15" s="11">
        <f t="shared" si="2"/>
        <v>0</v>
      </c>
      <c r="G15" s="2"/>
      <c r="H15" s="2"/>
      <c r="I15" s="2"/>
      <c r="J15" s="2"/>
    </row>
    <row r="16">
      <c r="A16" s="6" t="s">
        <v>101</v>
      </c>
      <c r="B16" s="17"/>
      <c r="C16" s="2"/>
      <c r="D16" s="2"/>
      <c r="E16" s="21" t="s">
        <v>111</v>
      </c>
      <c r="F16" s="23">
        <f>SUM(F5:F15)</f>
        <v>0</v>
      </c>
      <c r="G16" s="2"/>
      <c r="H16" s="2"/>
      <c r="I16" s="2"/>
      <c r="J16" s="2"/>
    </row>
    <row r="17">
      <c r="A17" s="6" t="s">
        <v>104</v>
      </c>
      <c r="B17" s="17"/>
      <c r="C17" s="2"/>
      <c r="D17" s="2"/>
      <c r="E17" s="21" t="s">
        <v>113</v>
      </c>
      <c r="F17" s="23">
        <f>IF(N('Shipment Setup'!B24)&gt;0,F16/'Shipment Setup'!B24,0)</f>
        <v>0</v>
      </c>
      <c r="G17" s="2"/>
      <c r="H17" s="2"/>
      <c r="I17" s="2"/>
      <c r="J17" s="2"/>
    </row>
    <row r="18">
      <c r="A18" s="6" t="s">
        <v>108</v>
      </c>
      <c r="B18" s="17"/>
      <c r="C18" s="2"/>
      <c r="D18" s="2"/>
      <c r="E18" s="6" t="s">
        <v>114</v>
      </c>
      <c r="F18" s="20">
        <f>N(B10)+N(B11)</f>
        <v>0</v>
      </c>
      <c r="G18" s="2"/>
      <c r="H18" s="2"/>
      <c r="I18" s="2"/>
      <c r="J18" s="2"/>
    </row>
    <row r="19">
      <c r="A19" s="6" t="s">
        <v>110</v>
      </c>
      <c r="B19" s="20">
        <f>MAX('Shipment Setup'!H24,'Shipment Setup'!F24*'Rate Card'!B7)</f>
        <v>0</v>
      </c>
      <c r="C19" s="9" t="s">
        <v>115</v>
      </c>
      <c r="D19" s="2"/>
      <c r="E19" s="6" t="s">
        <v>116</v>
      </c>
      <c r="F19" s="11">
        <f>IF('Shipment Setup'!B8="Yes",F16*N('Shipment Setup'!B9)*F18/365,0)</f>
        <v>0</v>
      </c>
      <c r="G19" s="2"/>
      <c r="H19" s="2"/>
      <c r="I19" s="2"/>
      <c r="J19" s="2"/>
    </row>
    <row r="20">
      <c r="A20" s="6" t="s">
        <v>118</v>
      </c>
      <c r="B20" s="11">
        <f>IF(B8="DDP",N(B13),IF(B9="FCL",N(B14)*N(B15),IF(B9="LCL",MAX(N(B17),'Shipment Setup'!F24*N(B16)),IF(B9="Air",B19*N(B18),0))))</f>
        <v>0</v>
      </c>
      <c r="C20" s="2"/>
      <c r="D20" s="2"/>
      <c r="E20" s="6" t="s">
        <v>120</v>
      </c>
      <c r="F20" s="11">
        <f>F16+F19</f>
        <v>0</v>
      </c>
      <c r="G20" s="2"/>
      <c r="H20" s="2"/>
      <c r="I20" s="2"/>
      <c r="J20" s="2"/>
    </row>
    <row r="21">
      <c r="A21" s="4" t="s">
        <v>122</v>
      </c>
      <c r="B21" s="4"/>
      <c r="C21" s="4"/>
      <c r="D21" s="2"/>
      <c r="E21" s="6" t="s">
        <v>123</v>
      </c>
      <c r="F21" s="11">
        <f>IF(N('Shipment Setup'!B24)&gt;0,F20/'Shipment Setup'!B24,0)</f>
        <v>0</v>
      </c>
      <c r="G21" s="2"/>
      <c r="H21" s="2"/>
      <c r="I21" s="2"/>
      <c r="J21" s="2"/>
    </row>
    <row r="22">
      <c r="A22" s="6" t="s">
        <v>125</v>
      </c>
      <c r="B22" s="17"/>
      <c r="C22" s="2"/>
      <c r="D22" s="2"/>
      <c r="E22" s="2"/>
      <c r="F22" s="2"/>
      <c r="G22" s="2"/>
      <c r="H22" s="2"/>
      <c r="I22" s="2"/>
      <c r="J22" s="2"/>
    </row>
    <row r="23">
      <c r="A23" s="6" t="s">
        <v>126</v>
      </c>
      <c r="B23" s="17"/>
      <c r="C23" s="2"/>
      <c r="D23" s="2"/>
      <c r="E23" s="4" t="s">
        <v>127</v>
      </c>
      <c r="F23" s="4"/>
      <c r="G23" s="4"/>
      <c r="H23" s="4"/>
      <c r="I23" s="4"/>
      <c r="J23" s="4"/>
    </row>
    <row r="24">
      <c r="A24" s="6" t="s">
        <v>128</v>
      </c>
      <c r="B24" s="17"/>
      <c r="C24" s="2"/>
      <c r="D24" s="2"/>
      <c r="E24" s="16" t="s">
        <v>129</v>
      </c>
      <c r="F24" s="16" t="s">
        <v>60</v>
      </c>
      <c r="G24" s="16" t="s">
        <v>130</v>
      </c>
      <c r="H24" s="16" t="s">
        <v>131</v>
      </c>
      <c r="I24" s="16" t="s">
        <v>132</v>
      </c>
      <c r="J24" s="16" t="s">
        <v>133</v>
      </c>
    </row>
    <row r="25">
      <c r="A25" s="6" t="s">
        <v>134</v>
      </c>
      <c r="B25" s="11">
        <f>IF(B8="EXW",SUM(B22:B24),0)</f>
        <v>0</v>
      </c>
      <c r="C25" s="2"/>
      <c r="D25" s="2"/>
      <c r="E25" s="6" t="s">
        <v>136</v>
      </c>
      <c r="F25" s="20">
        <f>'Shipment Setup'!P24</f>
        <v>500</v>
      </c>
      <c r="G25" s="11">
        <f>IFERROR($F$43*I25/SUMPRODUCT('Shipment Setup'!B14:B23,'Shipment Setup'!X14:X23),0)+J25+IF($B$8="DDP",0,SUMPRODUCT('Shipment Setup'!P14:P23,'Shipment Setup'!W14:W23))</f>
        <v>0</v>
      </c>
      <c r="H25" s="11">
        <f t="shared" ref="H25:H28" si="3">IF(F25&gt;0,G25/F25,0)</f>
        <v>0</v>
      </c>
      <c r="I25" s="26">
        <f>SUMPRODUCT('Shipment Setup'!P14:P23,'Shipment Setup'!X14:X23)</f>
        <v>0</v>
      </c>
      <c r="J25" s="11">
        <f>F9</f>
        <v>0</v>
      </c>
    </row>
    <row r="26">
      <c r="A26" s="4" t="s">
        <v>141</v>
      </c>
      <c r="B26" s="4"/>
      <c r="C26" s="4"/>
      <c r="D26" s="2"/>
      <c r="E26" s="6" t="s">
        <v>142</v>
      </c>
      <c r="F26" s="20">
        <f>'Shipment Setup'!Q24</f>
        <v>250</v>
      </c>
      <c r="G26" s="11">
        <f>IFERROR($F$43*I26/SUMPRODUCT('Shipment Setup'!B14:B23,'Shipment Setup'!X14:X23),0)+J26+IF($B$8="DDP",0,SUMPRODUCT('Shipment Setup'!Q14:Q23,'Shipment Setup'!W14:W23))</f>
        <v>0</v>
      </c>
      <c r="H26" s="11">
        <f t="shared" si="3"/>
        <v>0</v>
      </c>
      <c r="I26" s="26">
        <f>SUMPRODUCT('Shipment Setup'!Q14:Q23,'Shipment Setup'!X14:X23)</f>
        <v>0</v>
      </c>
      <c r="J26" s="11">
        <f>F10+F13</f>
        <v>0</v>
      </c>
    </row>
    <row r="27">
      <c r="A27" s="6" t="s">
        <v>144</v>
      </c>
      <c r="B27" s="17"/>
      <c r="C27" s="2"/>
      <c r="D27" s="2"/>
      <c r="E27" s="6" t="s">
        <v>145</v>
      </c>
      <c r="F27" s="20">
        <f>'Shipment Setup'!R24</f>
        <v>100</v>
      </c>
      <c r="G27" s="11">
        <f>IFERROR($F$43*I27/SUMPRODUCT('Shipment Setup'!B14:B23,'Shipment Setup'!X14:X23),0)+J27+IF($B$8="DDP",0,SUMPRODUCT('Shipment Setup'!R14:R23,'Shipment Setup'!W14:W23))</f>
        <v>0</v>
      </c>
      <c r="H27" s="11">
        <f t="shared" si="3"/>
        <v>0</v>
      </c>
      <c r="I27" s="26">
        <f>SUMPRODUCT('Shipment Setup'!R14:R23,'Shipment Setup'!X14:X23)</f>
        <v>0</v>
      </c>
      <c r="J27" s="11">
        <f t="shared" ref="J27:J28" si="4">F11</f>
        <v>0</v>
      </c>
    </row>
    <row r="28">
      <c r="A28" s="6" t="s">
        <v>121</v>
      </c>
      <c r="B28" s="17"/>
      <c r="C28" s="2"/>
      <c r="D28" s="2"/>
      <c r="E28" s="6" t="s">
        <v>147</v>
      </c>
      <c r="F28" s="20">
        <f>'Shipment Setup'!S24</f>
        <v>150</v>
      </c>
      <c r="G28" s="11">
        <f>IFERROR($F$43*I28/SUMPRODUCT('Shipment Setup'!B14:B23,'Shipment Setup'!X14:X23),0)+J28+IF($B$8="DDP",0,SUMPRODUCT('Shipment Setup'!S14:S23,'Shipment Setup'!W14:W23))</f>
        <v>0</v>
      </c>
      <c r="H28" s="11">
        <f t="shared" si="3"/>
        <v>0</v>
      </c>
      <c r="I28" s="26">
        <f>SUMPRODUCT('Shipment Setup'!S14:S23,'Shipment Setup'!X14:X23)</f>
        <v>0</v>
      </c>
      <c r="J28" s="11">
        <f t="shared" si="4"/>
        <v>0</v>
      </c>
    </row>
    <row r="29">
      <c r="A29" s="6" t="s">
        <v>124</v>
      </c>
      <c r="B29" s="17"/>
      <c r="C29" s="2"/>
      <c r="D29" s="2"/>
      <c r="E29" s="2"/>
      <c r="F29" s="2"/>
      <c r="G29" s="2"/>
      <c r="H29" s="2"/>
      <c r="I29" s="2"/>
      <c r="J29" s="2"/>
    </row>
    <row r="30">
      <c r="A30" s="6" t="s">
        <v>150</v>
      </c>
      <c r="B30" s="11">
        <f>IF(B8="DDP",0,SUM(B27:B29))</f>
        <v>0</v>
      </c>
      <c r="C30" s="2"/>
      <c r="D30" s="2"/>
      <c r="E30" s="4" t="s">
        <v>151</v>
      </c>
      <c r="F30" s="4"/>
      <c r="G30" s="4"/>
      <c r="H30" s="4"/>
      <c r="I30" s="2"/>
      <c r="J30" s="2"/>
    </row>
    <row r="31">
      <c r="A31" s="4" t="s">
        <v>152</v>
      </c>
      <c r="B31" s="4"/>
      <c r="C31" s="4"/>
      <c r="D31" s="2"/>
      <c r="E31" s="16" t="s">
        <v>59</v>
      </c>
      <c r="F31" s="16" t="s">
        <v>60</v>
      </c>
      <c r="G31" s="16" t="s">
        <v>130</v>
      </c>
      <c r="H31" s="16" t="s">
        <v>131</v>
      </c>
      <c r="I31" s="2"/>
      <c r="J31" s="2"/>
    </row>
    <row r="32">
      <c r="A32" s="6" t="s">
        <v>153</v>
      </c>
      <c r="B32" s="17"/>
      <c r="C32" s="2"/>
      <c r="D32" s="2"/>
      <c r="E32" s="6" t="str">
        <f>IF('Shipment Setup'!A14="","",'Shipment Setup'!A14)</f>
        <v>Classic Food Mill</v>
      </c>
      <c r="F32" s="20">
        <f>N('Shipment Setup'!B14)</f>
        <v>1000</v>
      </c>
      <c r="G32" s="11">
        <f>IF(N('Shipment Setup'!B14)&gt;0,$F$43*'Shipment Setup'!Y14+IF($B$8="DDP",0,'Shipment Setup'!O14)+IFERROR('Shipment Setup'!P14*'Shipment Setup'!X14/$I$25,0)*$J$25+IFERROR('Shipment Setup'!Q14*'Shipment Setup'!X14/$I$26,0)*$J$26+IFERROR('Shipment Setup'!R14*'Shipment Setup'!X14/$I$27,0)*$J$27+IFERROR('Shipment Setup'!S14*'Shipment Setup'!X14/$I$28,0)*$J$28,0)</f>
        <v>0</v>
      </c>
      <c r="H32" s="11">
        <f t="shared" ref="H32:H41" si="5">IF(F32&gt;0,G32/F32,0)</f>
        <v>0</v>
      </c>
      <c r="I32" s="2"/>
      <c r="J32" s="2"/>
    </row>
    <row r="33">
      <c r="A33" s="6" t="s">
        <v>155</v>
      </c>
      <c r="B33" s="17"/>
      <c r="C33" s="2"/>
      <c r="D33" s="2"/>
      <c r="E33" s="6" t="str">
        <f>IF('Shipment Setup'!A15="","",'Shipment Setup'!A15)</f>
        <v/>
      </c>
      <c r="F33" s="20">
        <f>N('Shipment Setup'!B15)</f>
        <v>0</v>
      </c>
      <c r="G33" s="11">
        <f>IF(N('Shipment Setup'!B15)&gt;0,$F$43*'Shipment Setup'!Y15+IF($B$8="DDP",0,'Shipment Setup'!O15)+IFERROR('Shipment Setup'!P15*'Shipment Setup'!X15/$I$25,0)*$J$25+IFERROR('Shipment Setup'!Q15*'Shipment Setup'!X15/$I$26,0)*$J$26+IFERROR('Shipment Setup'!R15*'Shipment Setup'!X15/$I$27,0)*$J$27+IFERROR('Shipment Setup'!S15*'Shipment Setup'!X15/$I$28,0)*$J$28,0)</f>
        <v>0</v>
      </c>
      <c r="H33" s="11">
        <f t="shared" si="5"/>
        <v>0</v>
      </c>
      <c r="I33" s="2"/>
      <c r="J33" s="2"/>
    </row>
    <row r="34">
      <c r="A34" s="6" t="s">
        <v>161</v>
      </c>
      <c r="B34" s="17"/>
      <c r="C34" s="2"/>
      <c r="D34" s="2"/>
      <c r="E34" s="6" t="str">
        <f>IF('Shipment Setup'!A16="","",'Shipment Setup'!A16)</f>
        <v/>
      </c>
      <c r="F34" s="20">
        <f>N('Shipment Setup'!B16)</f>
        <v>0</v>
      </c>
      <c r="G34" s="11">
        <f>IF(N('Shipment Setup'!B16)&gt;0,$F$43*'Shipment Setup'!Y16+IF($B$8="DDP",0,'Shipment Setup'!O16)+IFERROR('Shipment Setup'!P16*'Shipment Setup'!X16/$I$25,0)*$J$25+IFERROR('Shipment Setup'!Q16*'Shipment Setup'!X16/$I$26,0)*$J$26+IFERROR('Shipment Setup'!R16*'Shipment Setup'!X16/$I$27,0)*$J$27+IFERROR('Shipment Setup'!S16*'Shipment Setup'!X16/$I$28,0)*$J$28,0)</f>
        <v>0</v>
      </c>
      <c r="H34" s="11">
        <f t="shared" si="5"/>
        <v>0</v>
      </c>
      <c r="I34" s="2"/>
      <c r="J34" s="2"/>
    </row>
    <row r="35">
      <c r="A35" s="6" t="s">
        <v>162</v>
      </c>
      <c r="B35" s="17"/>
      <c r="C35" s="2"/>
      <c r="D35" s="2"/>
      <c r="E35" s="6" t="str">
        <f>IF('Shipment Setup'!A17="","",'Shipment Setup'!A17)</f>
        <v/>
      </c>
      <c r="F35" s="20">
        <f>N('Shipment Setup'!B17)</f>
        <v>0</v>
      </c>
      <c r="G35" s="11">
        <f>IF(N('Shipment Setup'!B17)&gt;0,$F$43*'Shipment Setup'!Y17+IF($B$8="DDP",0,'Shipment Setup'!O17)+IFERROR('Shipment Setup'!P17*'Shipment Setup'!X17/$I$25,0)*$J$25+IFERROR('Shipment Setup'!Q17*'Shipment Setup'!X17/$I$26,0)*$J$26+IFERROR('Shipment Setup'!R17*'Shipment Setup'!X17/$I$27,0)*$J$27+IFERROR('Shipment Setup'!S17*'Shipment Setup'!X17/$I$28,0)*$J$28,0)</f>
        <v>0</v>
      </c>
      <c r="H35" s="11">
        <f t="shared" si="5"/>
        <v>0</v>
      </c>
      <c r="I35" s="2"/>
      <c r="J35" s="2"/>
    </row>
    <row r="36">
      <c r="A36" s="4" t="s">
        <v>164</v>
      </c>
      <c r="B36" s="4"/>
      <c r="C36" s="4"/>
      <c r="D36" s="2"/>
      <c r="E36" s="6" t="str">
        <f>IF('Shipment Setup'!A18="","",'Shipment Setup'!A18)</f>
        <v/>
      </c>
      <c r="F36" s="20">
        <f>N('Shipment Setup'!B18)</f>
        <v>0</v>
      </c>
      <c r="G36" s="11">
        <f>IF(N('Shipment Setup'!B18)&gt;0,$F$43*'Shipment Setup'!Y18+IF($B$8="DDP",0,'Shipment Setup'!O18)+IFERROR('Shipment Setup'!P18*'Shipment Setup'!X18/$I$25,0)*$J$25+IFERROR('Shipment Setup'!Q18*'Shipment Setup'!X18/$I$26,0)*$J$26+IFERROR('Shipment Setup'!R18*'Shipment Setup'!X18/$I$27,0)*$J$27+IFERROR('Shipment Setup'!S18*'Shipment Setup'!X18/$I$28,0)*$J$28,0)</f>
        <v>0</v>
      </c>
      <c r="H36" s="11">
        <f t="shared" si="5"/>
        <v>0</v>
      </c>
      <c r="I36" s="2"/>
      <c r="J36" s="2"/>
    </row>
    <row r="37">
      <c r="A37" s="6" t="s">
        <v>166</v>
      </c>
      <c r="B37" s="17">
        <f>'Rate Card'!B5</f>
        <v>0.5</v>
      </c>
      <c r="C37" s="9" t="s">
        <v>167</v>
      </c>
      <c r="D37" s="2"/>
      <c r="E37" s="6" t="str">
        <f>IF('Shipment Setup'!A19="","",'Shipment Setup'!A19)</f>
        <v/>
      </c>
      <c r="F37" s="20">
        <f>N('Shipment Setup'!B19)</f>
        <v>0</v>
      </c>
      <c r="G37" s="11">
        <f>IF(N('Shipment Setup'!B19)&gt;0,$F$43*'Shipment Setup'!Y19+IF($B$8="DDP",0,'Shipment Setup'!O19)+IFERROR('Shipment Setup'!P19*'Shipment Setup'!X19/$I$25,0)*$J$25+IFERROR('Shipment Setup'!Q19*'Shipment Setup'!X19/$I$26,0)*$J$26+IFERROR('Shipment Setup'!R19*'Shipment Setup'!X19/$I$27,0)*$J$27+IFERROR('Shipment Setup'!S19*'Shipment Setup'!X19/$I$28,0)*$J$28,0)</f>
        <v>0</v>
      </c>
      <c r="H37" s="11">
        <f t="shared" si="5"/>
        <v>0</v>
      </c>
      <c r="I37" s="2"/>
      <c r="J37" s="2"/>
    </row>
    <row r="38">
      <c r="A38" s="6" t="s">
        <v>168</v>
      </c>
      <c r="B38" s="17"/>
      <c r="C38" s="2"/>
      <c r="D38" s="2"/>
      <c r="E38" s="6" t="str">
        <f>IF('Shipment Setup'!A20="","",'Shipment Setup'!A20)</f>
        <v/>
      </c>
      <c r="F38" s="20">
        <f>N('Shipment Setup'!B20)</f>
        <v>0</v>
      </c>
      <c r="G38" s="11">
        <f>IF(N('Shipment Setup'!B20)&gt;0,$F$43*'Shipment Setup'!Y20+IF($B$8="DDP",0,'Shipment Setup'!O20)+IFERROR('Shipment Setup'!P20*'Shipment Setup'!X20/$I$25,0)*$J$25+IFERROR('Shipment Setup'!Q20*'Shipment Setup'!X20/$I$26,0)*$J$26+IFERROR('Shipment Setup'!R20*'Shipment Setup'!X20/$I$27,0)*$J$27+IFERROR('Shipment Setup'!S20*'Shipment Setup'!X20/$I$28,0)*$J$28,0)</f>
        <v>0</v>
      </c>
      <c r="H38" s="11">
        <f t="shared" si="5"/>
        <v>0</v>
      </c>
      <c r="I38" s="2"/>
      <c r="J38" s="2"/>
    </row>
    <row r="39">
      <c r="A39" s="6" t="s">
        <v>157</v>
      </c>
      <c r="B39" s="17"/>
      <c r="C39" s="2"/>
      <c r="D39" s="2"/>
      <c r="E39" s="6" t="str">
        <f>IF('Shipment Setup'!A21="","",'Shipment Setup'!A21)</f>
        <v/>
      </c>
      <c r="F39" s="20">
        <f>N('Shipment Setup'!B21)</f>
        <v>0</v>
      </c>
      <c r="G39" s="11">
        <f>IF(N('Shipment Setup'!B21)&gt;0,$F$43*'Shipment Setup'!Y21+IF($B$8="DDP",0,'Shipment Setup'!O21)+IFERROR('Shipment Setup'!P21*'Shipment Setup'!X21/$I$25,0)*$J$25+IFERROR('Shipment Setup'!Q21*'Shipment Setup'!X21/$I$26,0)*$J$26+IFERROR('Shipment Setup'!R21*'Shipment Setup'!X21/$I$27,0)*$J$27+IFERROR('Shipment Setup'!S21*'Shipment Setup'!X21/$I$28,0)*$J$28,0)</f>
        <v>0</v>
      </c>
      <c r="H39" s="11">
        <f t="shared" si="5"/>
        <v>0</v>
      </c>
      <c r="I39" s="2"/>
      <c r="J39" s="2"/>
    </row>
    <row r="40">
      <c r="A40" s="4" t="s">
        <v>169</v>
      </c>
      <c r="B40" s="4"/>
      <c r="C40" s="4"/>
      <c r="D40" s="2"/>
      <c r="E40" s="6" t="str">
        <f>IF('Shipment Setup'!A22="","",'Shipment Setup'!A22)</f>
        <v/>
      </c>
      <c r="F40" s="20">
        <f>N('Shipment Setup'!B22)</f>
        <v>0</v>
      </c>
      <c r="G40" s="11">
        <f>IF(N('Shipment Setup'!B22)&gt;0,$F$43*'Shipment Setup'!Y22+IF($B$8="DDP",0,'Shipment Setup'!O22)+IFERROR('Shipment Setup'!P22*'Shipment Setup'!X22/$I$25,0)*$J$25+IFERROR('Shipment Setup'!Q22*'Shipment Setup'!X22/$I$26,0)*$J$26+IFERROR('Shipment Setup'!R22*'Shipment Setup'!X22/$I$27,0)*$J$27+IFERROR('Shipment Setup'!S22*'Shipment Setup'!X22/$I$28,0)*$J$28,0)</f>
        <v>0</v>
      </c>
      <c r="H40" s="11">
        <f t="shared" si="5"/>
        <v>0</v>
      </c>
      <c r="I40" s="2"/>
      <c r="J40" s="2"/>
    </row>
    <row r="41">
      <c r="A41" s="6" t="s">
        <v>135</v>
      </c>
      <c r="B41" s="11">
        <f>IF(OR(B8="",B8="DDP"),0,'Shipment Setup'!O24)</f>
        <v>0</v>
      </c>
      <c r="C41" s="9" t="s">
        <v>170</v>
      </c>
      <c r="D41" s="2"/>
      <c r="E41" s="6" t="str">
        <f>IF('Shipment Setup'!A23="","",'Shipment Setup'!A23)</f>
        <v/>
      </c>
      <c r="F41" s="20">
        <f>N('Shipment Setup'!B23)</f>
        <v>0</v>
      </c>
      <c r="G41" s="11">
        <f>IF(N('Shipment Setup'!B23)&gt;0,$F$43*'Shipment Setup'!Y23+IF($B$8="DDP",0,'Shipment Setup'!O23)+IFERROR('Shipment Setup'!P23*'Shipment Setup'!X23/$I$25,0)*$J$25+IFERROR('Shipment Setup'!Q23*'Shipment Setup'!X23/$I$26,0)*$J$26+IFERROR('Shipment Setup'!R23*'Shipment Setup'!X23/$I$27,0)*$J$27+IFERROR('Shipment Setup'!S23*'Shipment Setup'!X23/$I$28,0)*$J$28,0)</f>
        <v>0</v>
      </c>
      <c r="H41" s="11">
        <f t="shared" si="5"/>
        <v>0</v>
      </c>
      <c r="I41" s="2"/>
      <c r="J41" s="2"/>
    </row>
    <row r="42">
      <c r="A42" s="2"/>
      <c r="B42" s="2"/>
      <c r="C42" s="2"/>
      <c r="D42" s="2"/>
      <c r="E42" s="2"/>
      <c r="F42" s="2"/>
      <c r="G42" s="2"/>
      <c r="H42" s="2"/>
      <c r="I42" s="2"/>
      <c r="J42" s="2"/>
    </row>
    <row r="43">
      <c r="A43" s="2"/>
      <c r="B43" s="2"/>
      <c r="C43" s="2"/>
      <c r="D43" s="2"/>
      <c r="E43" s="9" t="s">
        <v>171</v>
      </c>
      <c r="F43" s="11">
        <f>F5+F6+F7+F14+F15</f>
        <v>0</v>
      </c>
      <c r="G43" s="2"/>
      <c r="H43" s="2"/>
      <c r="I43" s="2"/>
      <c r="J43" s="2"/>
    </row>
  </sheetData>
  <conditionalFormatting sqref="A41:B41">
    <cfRule type="expression" dxfId="0" priority="1" stopIfTrue="1">
      <formula>$B$8="DDP"</formula>
    </cfRule>
  </conditionalFormatting>
  <conditionalFormatting sqref="A27:B30">
    <cfRule type="expression" dxfId="0" priority="2" stopIfTrue="1">
      <formula>$B$8="DDP"</formula>
    </cfRule>
  </conditionalFormatting>
  <conditionalFormatting sqref="A22:B25">
    <cfRule type="expression" dxfId="0" priority="3" stopIfTrue="1">
      <formula>$B$8&lt;&gt;"EXW"</formula>
    </cfRule>
  </conditionalFormatting>
  <conditionalFormatting sqref="A20:B20">
    <cfRule type="expression" dxfId="0" priority="4" stopIfTrue="1">
      <formula>$B$8="DDP"</formula>
    </cfRule>
  </conditionalFormatting>
  <conditionalFormatting sqref="A18:B19">
    <cfRule type="expression" dxfId="0" priority="5" stopIfTrue="1">
      <formula>OR($B$8="DDP",$B$9&lt;&gt;"Air")</formula>
    </cfRule>
  </conditionalFormatting>
  <conditionalFormatting sqref="A16:B17">
    <cfRule type="expression" dxfId="0" priority="6" stopIfTrue="1">
      <formula>OR($B$8="DDP",$B$9&lt;&gt;"LCL")</formula>
    </cfRule>
  </conditionalFormatting>
  <conditionalFormatting sqref="A14:B15">
    <cfRule type="expression" dxfId="0" priority="7" stopIfTrue="1">
      <formula>OR($B$8="DDP",$B$9&lt;&gt;"FCL")</formula>
    </cfRule>
  </conditionalFormatting>
  <conditionalFormatting sqref="A13:B13">
    <cfRule type="expression" dxfId="0" priority="8" stopIfTrue="1">
      <formula>$B$8&lt;&gt;"DDP"</formula>
    </cfRule>
  </conditionalFormatting>
  <dataValidations>
    <dataValidation type="custom" allowBlank="1" showDropDown="1" sqref="B7">
      <formula1>OR(NOT(ISERROR(DATEVALUE(B7))), AND(ISNUMBER(B7), LEFT(CELL("format", B7))="D"))</formula1>
    </dataValidation>
    <dataValidation type="list" allowBlank="1" sqref="B8">
      <formula1>"EXW,FOB,DDP"</formula1>
    </dataValidation>
    <dataValidation type="list" allowBlank="1" sqref="B9">
      <formula1>"FCL,LCL,Air"</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15334"/>
    <outlinePr summaryBelow="0" summaryRight="0"/>
  </sheetPr>
  <sheetViews>
    <sheetView showGridLines="0" workbookViewId="0">
      <pane xSplit="1.0" ySplit="10.0" topLeftCell="B11" activePane="bottomRight" state="frozen"/>
      <selection activeCell="B1" sqref="B1" pane="topRight"/>
      <selection activeCell="A11" sqref="A11" pane="bottomLeft"/>
      <selection activeCell="B11" sqref="B11" pane="bottomRight"/>
    </sheetView>
  </sheetViews>
  <sheetFormatPr customHeight="1" defaultColWidth="12.63" defaultRowHeight="15.75" outlineLevelCol="1"/>
  <cols>
    <col customWidth="1" min="1" max="1" width="37.63"/>
    <col customWidth="1" min="2" max="5" width="18.88"/>
    <col customWidth="1" min="6" max="6" width="2.63"/>
    <col customWidth="1" min="7" max="7" width="27.63"/>
  </cols>
  <sheetData>
    <row r="1">
      <c r="A1" s="1" t="s">
        <v>172</v>
      </c>
      <c r="B1" s="2"/>
      <c r="C1" s="2"/>
      <c r="D1" s="2"/>
      <c r="E1" s="2"/>
      <c r="F1" s="2"/>
      <c r="G1" s="2"/>
    </row>
    <row r="2">
      <c r="A2" s="3" t="s">
        <v>174</v>
      </c>
      <c r="B2" s="2"/>
      <c r="C2" s="2"/>
      <c r="D2" s="2"/>
      <c r="E2" s="2"/>
      <c r="F2" s="2"/>
      <c r="G2" s="2"/>
    </row>
    <row r="3">
      <c r="A3" s="2"/>
      <c r="B3" s="2"/>
      <c r="C3" s="2"/>
      <c r="D3" s="2"/>
      <c r="E3" s="2"/>
      <c r="F3" s="2"/>
      <c r="G3" s="2"/>
    </row>
    <row r="4">
      <c r="A4" s="4" t="s">
        <v>24</v>
      </c>
      <c r="B4" s="4"/>
      <c r="C4" s="4"/>
      <c r="D4" s="4"/>
      <c r="E4" s="4"/>
      <c r="F4" s="2"/>
      <c r="G4" s="2"/>
    </row>
    <row r="5">
      <c r="A5" s="6" t="s">
        <v>175</v>
      </c>
      <c r="B5" s="8" t="str">
        <f>'Shipment Setup'!B5</f>
        <v/>
      </c>
      <c r="C5" s="2"/>
      <c r="D5" s="2"/>
      <c r="E5" s="2"/>
      <c r="F5" s="2"/>
      <c r="G5" s="2"/>
    </row>
    <row r="6">
      <c r="A6" s="6" t="s">
        <v>60</v>
      </c>
      <c r="B6" s="20">
        <f>'Shipment Setup'!B24</f>
        <v>1000</v>
      </c>
      <c r="C6" s="2"/>
      <c r="D6" s="2"/>
      <c r="E6" s="2"/>
      <c r="F6" s="2"/>
      <c r="G6" s="2"/>
    </row>
    <row r="7">
      <c r="A7" s="6" t="s">
        <v>64</v>
      </c>
      <c r="B7" s="24">
        <f>'Shipment Setup'!F24</f>
        <v>0</v>
      </c>
      <c r="C7" s="2"/>
      <c r="D7" s="2"/>
      <c r="E7" s="2"/>
      <c r="F7" s="2"/>
      <c r="G7" s="2"/>
    </row>
    <row r="8">
      <c r="A8" s="6" t="s">
        <v>66</v>
      </c>
      <c r="B8" s="20">
        <f>'Shipment Setup'!H24</f>
        <v>0</v>
      </c>
      <c r="C8" s="2"/>
      <c r="D8" s="2"/>
      <c r="E8" s="2"/>
      <c r="F8" s="2"/>
      <c r="G8" s="2"/>
    </row>
    <row r="9">
      <c r="A9" s="2"/>
      <c r="B9" s="2"/>
      <c r="C9" s="2"/>
      <c r="D9" s="2"/>
      <c r="E9" s="2"/>
      <c r="F9" s="2"/>
      <c r="G9" s="2"/>
    </row>
    <row r="10">
      <c r="A10" s="15" t="s">
        <v>177</v>
      </c>
      <c r="B10" s="15" t="s">
        <v>178</v>
      </c>
      <c r="C10" s="15" t="s">
        <v>179</v>
      </c>
      <c r="D10" s="15" t="s">
        <v>180</v>
      </c>
      <c r="E10" s="15" t="s">
        <v>181</v>
      </c>
      <c r="F10" s="2"/>
      <c r="G10" s="2"/>
    </row>
    <row r="11">
      <c r="A11" s="6" t="s">
        <v>182</v>
      </c>
      <c r="B11" s="8" t="str">
        <f>"Amazon Global Logistics"</f>
        <v>Amazon Global Logistics</v>
      </c>
      <c r="C11" s="8" t="str">
        <f>IF('Scenario 1'!B5="","",'Scenario 1'!B5)</f>
        <v/>
      </c>
      <c r="D11" s="8" t="str">
        <f>IF('Scenario 2'!B5="","",'Scenario 2'!B5)</f>
        <v/>
      </c>
      <c r="E11" s="8" t="str">
        <f>IF('Scenario 3'!B5="","",'Scenario 3'!B5)</f>
        <v/>
      </c>
      <c r="F11" s="2"/>
      <c r="G11" s="2"/>
    </row>
    <row r="12">
      <c r="A12" s="6" t="s">
        <v>69</v>
      </c>
      <c r="B12" s="8" t="str">
        <f>"AGL (duty separate)"</f>
        <v>AGL (duty separate)</v>
      </c>
      <c r="C12" s="8" t="str">
        <f>IF('Scenario 1'!B8="","",'Scenario 1'!B8)</f>
        <v/>
      </c>
      <c r="D12" s="8" t="str">
        <f>IF('Scenario 2'!B8="","",'Scenario 2'!B8)</f>
        <v/>
      </c>
      <c r="E12" s="8" t="str">
        <f>IF('Scenario 3'!B8="","",'Scenario 3'!B8)</f>
        <v/>
      </c>
      <c r="F12" s="2"/>
      <c r="G12" s="2"/>
    </row>
    <row r="13">
      <c r="A13" s="6" t="s">
        <v>50</v>
      </c>
      <c r="B13" s="8" t="str">
        <f>'Amazon Path (AGL)'!B7</f>
        <v/>
      </c>
      <c r="C13" s="8" t="str">
        <f>IF('Scenario 1'!B9="","",'Scenario 1'!B9)</f>
        <v/>
      </c>
      <c r="D13" s="8" t="str">
        <f>IF('Scenario 2'!B9="","",'Scenario 2'!B9)</f>
        <v/>
      </c>
      <c r="E13" s="8" t="str">
        <f>IF('Scenario 3'!B9="","",'Scenario 3'!B9)</f>
        <v/>
      </c>
      <c r="F13" s="2"/>
      <c r="G13" s="2"/>
    </row>
    <row r="14">
      <c r="A14" s="6" t="s">
        <v>114</v>
      </c>
      <c r="B14" s="20">
        <f>'Amazon Path (AGL)'!F18</f>
        <v>0</v>
      </c>
      <c r="C14" s="20">
        <f>'Scenario 1'!F18</f>
        <v>0</v>
      </c>
      <c r="D14" s="20">
        <f>'Scenario 2'!F18</f>
        <v>0</v>
      </c>
      <c r="E14" s="20">
        <f>'Scenario 3'!F18</f>
        <v>0</v>
      </c>
      <c r="F14" s="2"/>
      <c r="G14" s="2"/>
    </row>
    <row r="15">
      <c r="A15" s="6" t="s">
        <v>44</v>
      </c>
      <c r="B15" s="31" t="str">
        <f>'Amazon Path (AGL)'!B6</f>
        <v/>
      </c>
      <c r="C15" s="31" t="str">
        <f>IF('Scenario 1'!B7="","",'Scenario 1'!B7)</f>
        <v/>
      </c>
      <c r="D15" s="31" t="str">
        <f>IF('Scenario 2'!B7="","",'Scenario 2'!B7)</f>
        <v/>
      </c>
      <c r="E15" s="31" t="str">
        <f>IF('Scenario 3'!B7="","",'Scenario 3'!B7)</f>
        <v/>
      </c>
      <c r="F15" s="2"/>
      <c r="G15" s="2"/>
    </row>
    <row r="16">
      <c r="A16" s="4" t="s">
        <v>184</v>
      </c>
      <c r="B16" s="4"/>
      <c r="C16" s="4"/>
      <c r="D16" s="4"/>
      <c r="E16" s="4"/>
      <c r="F16" s="2"/>
      <c r="G16" s="2"/>
    </row>
    <row r="17">
      <c r="A17" s="6" t="s">
        <v>25</v>
      </c>
      <c r="B17" s="11">
        <f>'Amazon Path (AGL)'!F5</f>
        <v>0</v>
      </c>
      <c r="C17" s="11">
        <f>'Scenario 1'!F5</f>
        <v>0</v>
      </c>
      <c r="D17" s="11">
        <f>'Scenario 2'!F5</f>
        <v>0</v>
      </c>
      <c r="E17" s="11">
        <f>'Scenario 3'!F5</f>
        <v>0</v>
      </c>
      <c r="F17" s="2"/>
      <c r="G17" s="2"/>
    </row>
    <row r="18">
      <c r="A18" s="6" t="s">
        <v>46</v>
      </c>
      <c r="B18" s="11">
        <f>'Amazon Path (AGL)'!F6</f>
        <v>0</v>
      </c>
      <c r="C18" s="11">
        <f>'Scenario 1'!F6</f>
        <v>0</v>
      </c>
      <c r="D18" s="11">
        <f>'Scenario 2'!F6</f>
        <v>0</v>
      </c>
      <c r="E18" s="11">
        <f>'Scenario 3'!F6</f>
        <v>0</v>
      </c>
      <c r="F18" s="2"/>
      <c r="G18" s="2"/>
    </row>
    <row r="19">
      <c r="A19" s="6" t="s">
        <v>54</v>
      </c>
      <c r="B19" s="11">
        <f>'Amazon Path (AGL)'!F7</f>
        <v>0</v>
      </c>
      <c r="C19" s="11">
        <f>'Scenario 1'!F7</f>
        <v>0</v>
      </c>
      <c r="D19" s="11">
        <f>'Scenario 2'!F7</f>
        <v>0</v>
      </c>
      <c r="E19" s="11">
        <f>'Scenario 3'!F7</f>
        <v>0</v>
      </c>
      <c r="F19" s="2"/>
      <c r="G19" s="2"/>
    </row>
    <row r="20">
      <c r="A20" s="6" t="s">
        <v>58</v>
      </c>
      <c r="B20" s="11">
        <f>'Amazon Path (AGL)'!F8</f>
        <v>0</v>
      </c>
      <c r="C20" s="11">
        <f>'Scenario 1'!F8</f>
        <v>0</v>
      </c>
      <c r="D20" s="11">
        <f>'Scenario 2'!F8</f>
        <v>0</v>
      </c>
      <c r="E20" s="11">
        <f>'Scenario 3'!F8</f>
        <v>0</v>
      </c>
      <c r="F20" s="2"/>
      <c r="G20" s="2"/>
    </row>
    <row r="21">
      <c r="A21" s="6" t="s">
        <v>84</v>
      </c>
      <c r="B21" s="11">
        <f>'Amazon Path (AGL)'!F9</f>
        <v>0</v>
      </c>
      <c r="C21" s="11">
        <f>'Scenario 1'!F9</f>
        <v>0</v>
      </c>
      <c r="D21" s="11">
        <f>'Scenario 2'!F9</f>
        <v>0</v>
      </c>
      <c r="E21" s="11">
        <f>'Scenario 3'!F9</f>
        <v>0</v>
      </c>
      <c r="F21" s="2"/>
      <c r="G21" s="2"/>
    </row>
    <row r="22">
      <c r="A22" s="6" t="s">
        <v>91</v>
      </c>
      <c r="B22" s="11">
        <f>'Amazon Path (AGL)'!F10</f>
        <v>0</v>
      </c>
      <c r="C22" s="11">
        <f>'Scenario 1'!F10</f>
        <v>0</v>
      </c>
      <c r="D22" s="11">
        <f>'Scenario 2'!F10</f>
        <v>0</v>
      </c>
      <c r="E22" s="11">
        <f>'Scenario 3'!F10</f>
        <v>0</v>
      </c>
      <c r="F22" s="2"/>
      <c r="G22" s="2"/>
    </row>
    <row r="23">
      <c r="A23" s="6" t="s">
        <v>94</v>
      </c>
      <c r="B23" s="11">
        <f>'Amazon Path (AGL)'!F11</f>
        <v>0</v>
      </c>
      <c r="C23" s="11">
        <f>'Scenario 1'!F11</f>
        <v>0</v>
      </c>
      <c r="D23" s="11">
        <f>'Scenario 2'!F11</f>
        <v>0</v>
      </c>
      <c r="E23" s="11">
        <f>'Scenario 3'!F11</f>
        <v>0</v>
      </c>
      <c r="F23" s="2"/>
      <c r="G23" s="2"/>
    </row>
    <row r="24">
      <c r="A24" s="6" t="s">
        <v>99</v>
      </c>
      <c r="B24" s="11">
        <f>'Amazon Path (AGL)'!F12</f>
        <v>0</v>
      </c>
      <c r="C24" s="11">
        <f>'Scenario 1'!F12</f>
        <v>0</v>
      </c>
      <c r="D24" s="11">
        <f>'Scenario 2'!F12</f>
        <v>0</v>
      </c>
      <c r="E24" s="11">
        <f>'Scenario 3'!F12</f>
        <v>0</v>
      </c>
      <c r="F24" s="2"/>
      <c r="G24" s="2"/>
    </row>
    <row r="25">
      <c r="A25" s="6" t="s">
        <v>102</v>
      </c>
      <c r="B25" s="11">
        <f>'Amazon Path (AGL)'!F13</f>
        <v>0</v>
      </c>
      <c r="C25" s="11">
        <f>'Scenario 1'!F13</f>
        <v>0</v>
      </c>
      <c r="D25" s="11">
        <f>'Scenario 2'!F13</f>
        <v>0</v>
      </c>
      <c r="E25" s="11">
        <f>'Scenario 3'!F13</f>
        <v>0</v>
      </c>
      <c r="F25" s="2"/>
      <c r="G25" s="2"/>
    </row>
    <row r="26">
      <c r="A26" s="6" t="s">
        <v>105</v>
      </c>
      <c r="B26" s="11">
        <f>'Amazon Path (AGL)'!F14</f>
        <v>0</v>
      </c>
      <c r="C26" s="11">
        <f>'Scenario 1'!F14</f>
        <v>0</v>
      </c>
      <c r="D26" s="11">
        <f>'Scenario 2'!F14</f>
        <v>0</v>
      </c>
      <c r="E26" s="11">
        <f>'Scenario 3'!F14</f>
        <v>0</v>
      </c>
      <c r="F26" s="2"/>
      <c r="G26" s="2"/>
    </row>
    <row r="27">
      <c r="A27" s="6" t="s">
        <v>109</v>
      </c>
      <c r="B27" s="11">
        <f>'Amazon Path (AGL)'!F15</f>
        <v>0</v>
      </c>
      <c r="C27" s="11">
        <f>'Scenario 1'!F15</f>
        <v>0</v>
      </c>
      <c r="D27" s="11">
        <f>'Scenario 2'!F15</f>
        <v>0</v>
      </c>
      <c r="E27" s="11">
        <f>'Scenario 3'!F15</f>
        <v>0</v>
      </c>
      <c r="F27" s="2"/>
      <c r="G27" s="2"/>
    </row>
    <row r="28">
      <c r="A28" s="21" t="s">
        <v>215</v>
      </c>
      <c r="B28" s="23">
        <f>'Amazon Path (AGL)'!F16</f>
        <v>0</v>
      </c>
      <c r="C28" s="23">
        <f>'Scenario 1'!F16</f>
        <v>0</v>
      </c>
      <c r="D28" s="23">
        <f>'Scenario 2'!F16</f>
        <v>0</v>
      </c>
      <c r="E28" s="23">
        <f>'Scenario 3'!F16</f>
        <v>0</v>
      </c>
      <c r="F28" s="2"/>
      <c r="G28" s="2"/>
    </row>
    <row r="29">
      <c r="A29" s="21" t="s">
        <v>113</v>
      </c>
      <c r="B29" s="23">
        <f>'Amazon Path (AGL)'!F17</f>
        <v>0</v>
      </c>
      <c r="C29" s="23">
        <f>'Scenario 1'!F17</f>
        <v>0</v>
      </c>
      <c r="D29" s="23">
        <f>'Scenario 2'!F17</f>
        <v>0</v>
      </c>
      <c r="E29" s="23">
        <f>'Scenario 3'!F17</f>
        <v>0</v>
      </c>
      <c r="F29" s="2"/>
      <c r="G29" s="2"/>
    </row>
    <row r="30">
      <c r="A30" s="6" t="s">
        <v>222</v>
      </c>
      <c r="B30" s="2"/>
      <c r="C30" s="11" t="str">
        <f t="shared" ref="C30:E30" si="1">IF(OR(C28=0,$B28=0),"",C28-$B28)</f>
        <v/>
      </c>
      <c r="D30" s="11" t="str">
        <f t="shared" si="1"/>
        <v/>
      </c>
      <c r="E30" s="11" t="str">
        <f t="shared" si="1"/>
        <v/>
      </c>
      <c r="F30" s="2"/>
      <c r="G30" s="2"/>
    </row>
    <row r="31">
      <c r="A31" s="6" t="s">
        <v>225</v>
      </c>
      <c r="B31" s="2"/>
      <c r="C31" s="25" t="str">
        <f t="shared" ref="C31:E31" si="2">IF(OR(C28=0,$B28=0),"",C28/$B28-1)</f>
        <v/>
      </c>
      <c r="D31" s="25" t="str">
        <f t="shared" si="2"/>
        <v/>
      </c>
      <c r="E31" s="25" t="str">
        <f t="shared" si="2"/>
        <v/>
      </c>
      <c r="F31" s="2"/>
      <c r="G31" s="2"/>
    </row>
    <row r="32">
      <c r="A32" s="6" t="s">
        <v>116</v>
      </c>
      <c r="B32" s="11">
        <f>'Amazon Path (AGL)'!F19</f>
        <v>0</v>
      </c>
      <c r="C32" s="11">
        <f>'Scenario 1'!F19</f>
        <v>0</v>
      </c>
      <c r="D32" s="11">
        <f>'Scenario 2'!F19</f>
        <v>0</v>
      </c>
      <c r="E32" s="11">
        <f>'Scenario 3'!F19</f>
        <v>0</v>
      </c>
      <c r="F32" s="2"/>
      <c r="G32" s="2"/>
    </row>
    <row r="33">
      <c r="A33" s="6" t="s">
        <v>120</v>
      </c>
      <c r="B33" s="23">
        <f>'Amazon Path (AGL)'!F20</f>
        <v>0</v>
      </c>
      <c r="C33" s="23">
        <f>'Scenario 1'!F20</f>
        <v>0</v>
      </c>
      <c r="D33" s="23">
        <f>'Scenario 2'!F20</f>
        <v>0</v>
      </c>
      <c r="E33" s="23">
        <f>'Scenario 3'!F20</f>
        <v>0</v>
      </c>
      <c r="F33" s="2"/>
      <c r="G33" s="2"/>
    </row>
    <row r="34">
      <c r="A34" s="6" t="s">
        <v>123</v>
      </c>
      <c r="B34" s="23">
        <f>'Amazon Path (AGL)'!F21</f>
        <v>0</v>
      </c>
      <c r="C34" s="23">
        <f>'Scenario 1'!F21</f>
        <v>0</v>
      </c>
      <c r="D34" s="23">
        <f>'Scenario 2'!F21</f>
        <v>0</v>
      </c>
      <c r="E34" s="23">
        <f>'Scenario 3'!F21</f>
        <v>0</v>
      </c>
      <c r="F34" s="2"/>
      <c r="G34" s="2"/>
    </row>
    <row r="35">
      <c r="A35" s="21" t="s">
        <v>230</v>
      </c>
      <c r="B35" s="32" t="str">
        <f t="shared" ref="B35:E35" si="3">IF(B33=0,"",IF(B33=SMALL($B$33:$E$33,COUNTIF($B$33:$E$33,0)+1),"CHEAPEST",""))</f>
        <v/>
      </c>
      <c r="C35" s="32" t="str">
        <f t="shared" si="3"/>
        <v/>
      </c>
      <c r="D35" s="32" t="str">
        <f t="shared" si="3"/>
        <v/>
      </c>
      <c r="E35" s="32" t="str">
        <f t="shared" si="3"/>
        <v/>
      </c>
      <c r="F35" s="2"/>
      <c r="G35" s="2"/>
    </row>
    <row r="36">
      <c r="A36" s="21" t="s">
        <v>232</v>
      </c>
      <c r="B36" s="32" t="str">
        <f t="shared" ref="B36:E36" si="4">IF(B14=0,"",IF(B14=SMALL($B$14:$E$14,COUNTIF($B$14:$E$14,0)+1),"FASTEST",""))</f>
        <v/>
      </c>
      <c r="C36" s="32" t="str">
        <f t="shared" si="4"/>
        <v/>
      </c>
      <c r="D36" s="32" t="str">
        <f t="shared" si="4"/>
        <v/>
      </c>
      <c r="E36" s="32" t="str">
        <f t="shared" si="4"/>
        <v/>
      </c>
      <c r="F36" s="2"/>
      <c r="G36" s="2"/>
    </row>
    <row r="37">
      <c r="A37" s="2"/>
      <c r="B37" s="2"/>
      <c r="C37" s="2"/>
      <c r="D37" s="2"/>
      <c r="E37" s="2"/>
      <c r="F37" s="2"/>
      <c r="G37" s="2"/>
    </row>
    <row r="38">
      <c r="A38" s="4" t="s">
        <v>235</v>
      </c>
      <c r="B38" s="4"/>
      <c r="C38" s="4"/>
      <c r="D38" s="4"/>
      <c r="E38" s="4"/>
      <c r="F38" s="2"/>
      <c r="G38" s="2"/>
    </row>
    <row r="39">
      <c r="A39" s="16" t="s">
        <v>129</v>
      </c>
      <c r="B39" s="16" t="s">
        <v>236</v>
      </c>
      <c r="C39" s="16" t="s">
        <v>179</v>
      </c>
      <c r="D39" s="16" t="s">
        <v>180</v>
      </c>
      <c r="E39" s="16" t="s">
        <v>181</v>
      </c>
      <c r="F39" s="2"/>
      <c r="G39" s="2"/>
    </row>
    <row r="40">
      <c r="A40" s="6" t="s">
        <v>136</v>
      </c>
      <c r="B40" s="11">
        <f>IF('Amazon Path (AGL)'!F25=0,"",'Amazon Path (AGL)'!H25)</f>
        <v>0</v>
      </c>
      <c r="C40" s="11">
        <f>IF('Scenario 1'!F25=0,"",'Scenario 1'!H25)</f>
        <v>0</v>
      </c>
      <c r="D40" s="11">
        <f>IF('Scenario 2'!F25=0,"",'Scenario 2'!H25)</f>
        <v>0</v>
      </c>
      <c r="E40" s="11">
        <f>IF('Scenario 3'!F25=0,"",'Scenario 3'!H25)</f>
        <v>0</v>
      </c>
      <c r="F40" s="2"/>
      <c r="G40" s="2"/>
    </row>
    <row r="41">
      <c r="A41" s="6" t="s">
        <v>142</v>
      </c>
      <c r="B41" s="11">
        <f>IF('Amazon Path (AGL)'!F26=0,"",'Amazon Path (AGL)'!H26)</f>
        <v>0</v>
      </c>
      <c r="C41" s="11">
        <f>IF('Scenario 1'!F26=0,"",'Scenario 1'!H26)</f>
        <v>0</v>
      </c>
      <c r="D41" s="11">
        <f>IF('Scenario 2'!F26=0,"",'Scenario 2'!H26)</f>
        <v>0</v>
      </c>
      <c r="E41" s="11">
        <f>IF('Scenario 3'!F26=0,"",'Scenario 3'!H26)</f>
        <v>0</v>
      </c>
      <c r="F41" s="2"/>
      <c r="G41" s="2"/>
    </row>
    <row r="42">
      <c r="A42" s="6" t="s">
        <v>145</v>
      </c>
      <c r="B42" s="11">
        <f>IF('Amazon Path (AGL)'!F27=0,"",'Amazon Path (AGL)'!H27)</f>
        <v>0</v>
      </c>
      <c r="C42" s="11">
        <f>IF('Scenario 1'!F27=0,"",'Scenario 1'!H27)</f>
        <v>0</v>
      </c>
      <c r="D42" s="11">
        <f>IF('Scenario 2'!F27=0,"",'Scenario 2'!H27)</f>
        <v>0</v>
      </c>
      <c r="E42" s="11">
        <f>IF('Scenario 3'!F27=0,"",'Scenario 3'!H27)</f>
        <v>0</v>
      </c>
      <c r="F42" s="2"/>
      <c r="G42" s="2"/>
    </row>
    <row r="43">
      <c r="A43" s="6" t="s">
        <v>147</v>
      </c>
      <c r="B43" s="11">
        <f>IF('Amazon Path (AGL)'!F28=0,"",'Amazon Path (AGL)'!H28)</f>
        <v>0</v>
      </c>
      <c r="C43" s="11">
        <f>IF('Scenario 1'!F28=0,"",'Scenario 1'!H28)</f>
        <v>0</v>
      </c>
      <c r="D43" s="11">
        <f>IF('Scenario 2'!F28=0,"",'Scenario 2'!H28)</f>
        <v>0</v>
      </c>
      <c r="E43" s="11">
        <f>IF('Scenario 3'!F28=0,"",'Scenario 3'!H28)</f>
        <v>0</v>
      </c>
      <c r="F43" s="2"/>
      <c r="G43" s="2"/>
    </row>
    <row r="44">
      <c r="A44" s="2"/>
      <c r="B44" s="2"/>
      <c r="C44" s="2"/>
      <c r="D44" s="2"/>
      <c r="E44" s="2"/>
      <c r="F44" s="2"/>
      <c r="G44" s="2"/>
    </row>
    <row r="45">
      <c r="A45" s="4" t="s">
        <v>264</v>
      </c>
      <c r="B45" s="4"/>
      <c r="C45" s="4"/>
      <c r="D45" s="4"/>
      <c r="E45" s="4"/>
      <c r="F45" s="2"/>
      <c r="G45" s="2"/>
    </row>
    <row r="46">
      <c r="A46" s="16" t="s">
        <v>59</v>
      </c>
      <c r="B46" s="16" t="s">
        <v>236</v>
      </c>
      <c r="C46" s="16" t="s">
        <v>179</v>
      </c>
      <c r="D46" s="16" t="s">
        <v>180</v>
      </c>
      <c r="E46" s="16" t="s">
        <v>181</v>
      </c>
      <c r="F46" s="2"/>
      <c r="G46" s="2"/>
    </row>
    <row r="47">
      <c r="A47" s="6" t="str">
        <f>'Shipment Setup'!A14&amp;""</f>
        <v>Classic Food Mill</v>
      </c>
      <c r="B47" s="11">
        <f>IF(N('Amazon Path (AGL)'!F32)=0,"",'Amazon Path (AGL)'!H32)</f>
        <v>0</v>
      </c>
      <c r="C47" s="11">
        <f>IF(N('Scenario 1'!F32)=0,"",'Scenario 1'!H32)</f>
        <v>0</v>
      </c>
      <c r="D47" s="11">
        <f>IF(N('Scenario 2'!F32)=0,"",'Scenario 2'!H32)</f>
        <v>0</v>
      </c>
      <c r="E47" s="11">
        <f>IF(N('Scenario 3'!F32)=0,"",'Scenario 3'!H32)</f>
        <v>0</v>
      </c>
      <c r="F47" s="2"/>
      <c r="G47" s="2"/>
    </row>
    <row r="48">
      <c r="A48" s="6" t="str">
        <f>'Shipment Setup'!A15&amp;""</f>
        <v/>
      </c>
      <c r="B48" s="11" t="str">
        <f>IF(N('Amazon Path (AGL)'!F33)=0,"",'Amazon Path (AGL)'!H33)</f>
        <v/>
      </c>
      <c r="C48" s="11" t="str">
        <f>IF(N('Scenario 1'!F33)=0,"",'Scenario 1'!H33)</f>
        <v/>
      </c>
      <c r="D48" s="11" t="str">
        <f>IF(N('Scenario 2'!F33)=0,"",'Scenario 2'!H33)</f>
        <v/>
      </c>
      <c r="E48" s="11" t="str">
        <f>IF(N('Scenario 3'!F33)=0,"",'Scenario 3'!H33)</f>
        <v/>
      </c>
      <c r="F48" s="2"/>
      <c r="G48" s="2"/>
    </row>
    <row r="49">
      <c r="A49" s="6" t="str">
        <f>'Shipment Setup'!A16&amp;""</f>
        <v/>
      </c>
      <c r="B49" s="11" t="str">
        <f>IF(N('Amazon Path (AGL)'!F34)=0,"",'Amazon Path (AGL)'!H34)</f>
        <v/>
      </c>
      <c r="C49" s="11" t="str">
        <f>IF(N('Scenario 1'!F34)=0,"",'Scenario 1'!H34)</f>
        <v/>
      </c>
      <c r="D49" s="11" t="str">
        <f>IF(N('Scenario 2'!F34)=0,"",'Scenario 2'!H34)</f>
        <v/>
      </c>
      <c r="E49" s="11" t="str">
        <f>IF(N('Scenario 3'!F34)=0,"",'Scenario 3'!H34)</f>
        <v/>
      </c>
      <c r="F49" s="2"/>
      <c r="G49" s="2"/>
    </row>
    <row r="50">
      <c r="A50" s="6" t="str">
        <f>'Shipment Setup'!A17&amp;""</f>
        <v/>
      </c>
      <c r="B50" s="11" t="str">
        <f>IF(N('Amazon Path (AGL)'!F35)=0,"",'Amazon Path (AGL)'!H35)</f>
        <v/>
      </c>
      <c r="C50" s="11" t="str">
        <f>IF(N('Scenario 1'!F35)=0,"",'Scenario 1'!H35)</f>
        <v/>
      </c>
      <c r="D50" s="11" t="str">
        <f>IF(N('Scenario 2'!F35)=0,"",'Scenario 2'!H35)</f>
        <v/>
      </c>
      <c r="E50" s="11" t="str">
        <f>IF(N('Scenario 3'!F35)=0,"",'Scenario 3'!H35)</f>
        <v/>
      </c>
      <c r="F50" s="2"/>
      <c r="G50" s="2"/>
    </row>
    <row r="51">
      <c r="A51" s="6" t="str">
        <f>'Shipment Setup'!A18&amp;""</f>
        <v/>
      </c>
      <c r="B51" s="11" t="str">
        <f>IF(N('Amazon Path (AGL)'!F36)=0,"",'Amazon Path (AGL)'!H36)</f>
        <v/>
      </c>
      <c r="C51" s="11" t="str">
        <f>IF(N('Scenario 1'!F36)=0,"",'Scenario 1'!H36)</f>
        <v/>
      </c>
      <c r="D51" s="11" t="str">
        <f>IF(N('Scenario 2'!F36)=0,"",'Scenario 2'!H36)</f>
        <v/>
      </c>
      <c r="E51" s="11" t="str">
        <f>IF(N('Scenario 3'!F36)=0,"",'Scenario 3'!H36)</f>
        <v/>
      </c>
      <c r="F51" s="2"/>
      <c r="G51" s="2"/>
    </row>
    <row r="52">
      <c r="A52" s="6" t="str">
        <f>'Shipment Setup'!A19&amp;""</f>
        <v/>
      </c>
      <c r="B52" s="11" t="str">
        <f>IF(N('Amazon Path (AGL)'!F37)=0,"",'Amazon Path (AGL)'!H37)</f>
        <v/>
      </c>
      <c r="C52" s="11" t="str">
        <f>IF(N('Scenario 1'!F37)=0,"",'Scenario 1'!H37)</f>
        <v/>
      </c>
      <c r="D52" s="11" t="str">
        <f>IF(N('Scenario 2'!F37)=0,"",'Scenario 2'!H37)</f>
        <v/>
      </c>
      <c r="E52" s="11" t="str">
        <f>IF(N('Scenario 3'!F37)=0,"",'Scenario 3'!H37)</f>
        <v/>
      </c>
      <c r="F52" s="2"/>
      <c r="G52" s="2"/>
    </row>
    <row r="53">
      <c r="A53" s="6" t="str">
        <f>'Shipment Setup'!A20&amp;""</f>
        <v/>
      </c>
      <c r="B53" s="11" t="str">
        <f>IF(N('Amazon Path (AGL)'!F38)=0,"",'Amazon Path (AGL)'!H38)</f>
        <v/>
      </c>
      <c r="C53" s="11" t="str">
        <f>IF(N('Scenario 1'!F38)=0,"",'Scenario 1'!H38)</f>
        <v/>
      </c>
      <c r="D53" s="11" t="str">
        <f>IF(N('Scenario 2'!F38)=0,"",'Scenario 2'!H38)</f>
        <v/>
      </c>
      <c r="E53" s="11" t="str">
        <f>IF(N('Scenario 3'!F38)=0,"",'Scenario 3'!H38)</f>
        <v/>
      </c>
      <c r="F53" s="2"/>
      <c r="G53" s="2"/>
    </row>
    <row r="54">
      <c r="A54" s="6" t="str">
        <f>'Shipment Setup'!A21&amp;""</f>
        <v/>
      </c>
      <c r="B54" s="11" t="str">
        <f>IF(N('Amazon Path (AGL)'!F39)=0,"",'Amazon Path (AGL)'!H39)</f>
        <v/>
      </c>
      <c r="C54" s="11" t="str">
        <f>IF(N('Scenario 1'!F39)=0,"",'Scenario 1'!H39)</f>
        <v/>
      </c>
      <c r="D54" s="11" t="str">
        <f>IF(N('Scenario 2'!F39)=0,"",'Scenario 2'!H39)</f>
        <v/>
      </c>
      <c r="E54" s="11" t="str">
        <f>IF(N('Scenario 3'!F39)=0,"",'Scenario 3'!H39)</f>
        <v/>
      </c>
      <c r="F54" s="2"/>
      <c r="G54" s="2"/>
    </row>
    <row r="55">
      <c r="A55" s="6" t="str">
        <f>'Shipment Setup'!A22&amp;""</f>
        <v/>
      </c>
      <c r="B55" s="11" t="str">
        <f>IF(N('Amazon Path (AGL)'!F40)=0,"",'Amazon Path (AGL)'!H40)</f>
        <v/>
      </c>
      <c r="C55" s="11" t="str">
        <f>IF(N('Scenario 1'!F40)=0,"",'Scenario 1'!H40)</f>
        <v/>
      </c>
      <c r="D55" s="11" t="str">
        <f>IF(N('Scenario 2'!F40)=0,"",'Scenario 2'!H40)</f>
        <v/>
      </c>
      <c r="E55" s="11" t="str">
        <f>IF(N('Scenario 3'!F40)=0,"",'Scenario 3'!H40)</f>
        <v/>
      </c>
      <c r="F55" s="2"/>
      <c r="G55" s="2"/>
    </row>
    <row r="56">
      <c r="A56" s="6" t="str">
        <f>'Shipment Setup'!A23&amp;""</f>
        <v/>
      </c>
      <c r="B56" s="11" t="str">
        <f>IF(N('Amazon Path (AGL)'!F41)=0,"",'Amazon Path (AGL)'!H41)</f>
        <v/>
      </c>
      <c r="C56" s="11" t="str">
        <f>IF(N('Scenario 1'!F41)=0,"",'Scenario 1'!H41)</f>
        <v/>
      </c>
      <c r="D56" s="11" t="str">
        <f>IF(N('Scenario 2'!F41)=0,"",'Scenario 2'!H41)</f>
        <v/>
      </c>
      <c r="E56" s="11" t="str">
        <f>IF(N('Scenario 3'!F41)=0,"",'Scenario 3'!H41)</f>
        <v/>
      </c>
      <c r="F56" s="2"/>
      <c r="G56" s="2"/>
    </row>
  </sheetData>
  <conditionalFormatting sqref="C30:E30">
    <cfRule type="expression" dxfId="1" priority="1" stopIfTrue="1">
      <formula>AND(ISNUMBER(C30),C30&gt;0)</formula>
    </cfRule>
  </conditionalFormatting>
  <conditionalFormatting sqref="C30:E30">
    <cfRule type="expression" dxfId="3" priority="2" stopIfTrue="1">
      <formula>AND(ISNUMBER(C30),C30&lt;0)</formula>
    </cfRule>
  </conditionalFormatting>
  <conditionalFormatting sqref="B36:E36">
    <cfRule type="expression" dxfId="3" priority="3" stopIfTrue="1">
      <formula>B36="FASTEST"</formula>
    </cfRule>
  </conditionalFormatting>
  <conditionalFormatting sqref="B35:E35">
    <cfRule type="expression" dxfId="3" priority="4" stopIfTrue="1">
      <formula>B35="CHEAPEST"</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95450"/>
    <outlinePr summaryBelow="0" summaryRight="0"/>
  </sheetPr>
  <sheetViews>
    <sheetView showGridLines="0"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2.63" defaultRowHeight="15.75" outlineLevelCol="1"/>
  <cols>
    <col customWidth="1" min="1" max="1" width="25.13"/>
    <col customWidth="1" min="2" max="2" width="13.88"/>
    <col customWidth="1" min="3" max="3" width="11.38"/>
    <col customWidth="1" min="4" max="6" width="10.13"/>
    <col customWidth="1" min="7" max="8" width="11.38"/>
    <col customWidth="1" min="9" max="10" width="12.63"/>
    <col customWidth="1" min="11" max="13" width="10.13"/>
    <col customWidth="1" min="14" max="15" width="13.88"/>
    <col customWidth="1" min="16" max="16" width="32.63"/>
  </cols>
  <sheetData>
    <row r="1">
      <c r="A1" s="1" t="s">
        <v>185</v>
      </c>
      <c r="B1" s="2"/>
      <c r="C1" s="2"/>
      <c r="D1" s="2"/>
      <c r="E1" s="2"/>
      <c r="F1" s="2"/>
      <c r="G1" s="2"/>
      <c r="H1" s="2"/>
      <c r="I1" s="2"/>
      <c r="J1" s="2"/>
      <c r="K1" s="2"/>
      <c r="L1" s="2"/>
      <c r="M1" s="2"/>
      <c r="N1" s="2"/>
      <c r="O1" s="2"/>
      <c r="P1" s="2"/>
    </row>
    <row r="2">
      <c r="A2" s="3" t="s">
        <v>186</v>
      </c>
      <c r="B2" s="2"/>
      <c r="C2" s="2"/>
      <c r="D2" s="2"/>
      <c r="E2" s="2"/>
      <c r="F2" s="2"/>
      <c r="G2" s="2"/>
      <c r="H2" s="2"/>
      <c r="I2" s="2"/>
      <c r="J2" s="2"/>
      <c r="K2" s="2"/>
      <c r="L2" s="2"/>
      <c r="M2" s="2"/>
      <c r="N2" s="2"/>
      <c r="O2" s="2"/>
      <c r="P2" s="2"/>
    </row>
    <row r="3">
      <c r="A3" s="2"/>
      <c r="B3" s="2"/>
      <c r="C3" s="2"/>
      <c r="D3" s="2"/>
      <c r="E3" s="2"/>
      <c r="F3" s="2"/>
      <c r="G3" s="2"/>
      <c r="H3" s="2"/>
      <c r="I3" s="2"/>
      <c r="J3" s="2"/>
      <c r="K3" s="2"/>
      <c r="L3" s="2"/>
      <c r="M3" s="2"/>
      <c r="N3" s="2"/>
      <c r="O3" s="2"/>
      <c r="P3" s="2"/>
    </row>
    <row r="4" ht="36.0" customHeight="1">
      <c r="A4" s="15" t="s">
        <v>59</v>
      </c>
      <c r="B4" s="15" t="s">
        <v>187</v>
      </c>
      <c r="C4" s="15" t="s">
        <v>188</v>
      </c>
      <c r="D4" s="15" t="s">
        <v>189</v>
      </c>
      <c r="E4" s="15" t="s">
        <v>190</v>
      </c>
      <c r="F4" s="15" t="s">
        <v>191</v>
      </c>
      <c r="G4" s="15" t="s">
        <v>192</v>
      </c>
      <c r="H4" s="15" t="s">
        <v>193</v>
      </c>
      <c r="I4" s="15" t="s">
        <v>194</v>
      </c>
      <c r="J4" s="15" t="s">
        <v>195</v>
      </c>
      <c r="K4" s="15" t="s">
        <v>196</v>
      </c>
      <c r="L4" s="15" t="s">
        <v>197</v>
      </c>
      <c r="M4" s="15" t="s">
        <v>198</v>
      </c>
      <c r="N4" s="15" t="s">
        <v>199</v>
      </c>
      <c r="O4" s="15" t="s">
        <v>200</v>
      </c>
      <c r="P4" s="15" t="s">
        <v>201</v>
      </c>
    </row>
    <row r="5">
      <c r="A5" s="7" t="s">
        <v>100</v>
      </c>
      <c r="B5" s="7"/>
      <c r="C5" s="7"/>
      <c r="D5" s="7"/>
      <c r="E5" s="7"/>
      <c r="F5" s="7"/>
      <c r="G5" s="27"/>
      <c r="H5" s="22">
        <f t="shared" ref="H5:H34" si="1">IF(AND(N(D5)&gt;0,N(E5)&gt;0,N(F5)&gt;0),D5*E5*F5/1000000,0)</f>
        <v>0</v>
      </c>
      <c r="I5" s="17"/>
      <c r="J5" s="7"/>
      <c r="K5" s="12"/>
      <c r="L5" s="12"/>
      <c r="M5" s="12"/>
      <c r="N5" s="17">
        <v>0.23</v>
      </c>
      <c r="O5" s="17">
        <v>0.4</v>
      </c>
      <c r="P5" s="7" t="s">
        <v>202</v>
      </c>
    </row>
    <row r="6">
      <c r="A6" s="7" t="s">
        <v>203</v>
      </c>
      <c r="B6" s="7"/>
      <c r="C6" s="7"/>
      <c r="D6" s="7"/>
      <c r="E6" s="7"/>
      <c r="F6" s="7"/>
      <c r="G6" s="27"/>
      <c r="H6" s="22">
        <f t="shared" si="1"/>
        <v>0</v>
      </c>
      <c r="I6" s="17"/>
      <c r="J6" s="7"/>
      <c r="K6" s="12"/>
      <c r="L6" s="12"/>
      <c r="M6" s="12"/>
      <c r="N6" s="17">
        <v>0.23</v>
      </c>
      <c r="O6" s="17">
        <v>0.4</v>
      </c>
      <c r="P6" s="7"/>
    </row>
    <row r="7">
      <c r="A7" s="7" t="s">
        <v>204</v>
      </c>
      <c r="B7" s="7"/>
      <c r="C7" s="7"/>
      <c r="D7" s="7"/>
      <c r="E7" s="7"/>
      <c r="F7" s="7"/>
      <c r="G7" s="27"/>
      <c r="H7" s="22">
        <f t="shared" si="1"/>
        <v>0</v>
      </c>
      <c r="I7" s="17"/>
      <c r="J7" s="7"/>
      <c r="K7" s="12"/>
      <c r="L7" s="12"/>
      <c r="M7" s="12"/>
      <c r="N7" s="17">
        <v>0.17</v>
      </c>
      <c r="O7" s="17">
        <v>0.25</v>
      </c>
      <c r="P7" s="7"/>
    </row>
    <row r="8">
      <c r="A8" s="7" t="s">
        <v>206</v>
      </c>
      <c r="B8" s="7"/>
      <c r="C8" s="7"/>
      <c r="D8" s="7"/>
      <c r="E8" s="7"/>
      <c r="F8" s="7"/>
      <c r="G8" s="27"/>
      <c r="H8" s="22">
        <f t="shared" si="1"/>
        <v>0</v>
      </c>
      <c r="I8" s="17"/>
      <c r="J8" s="7"/>
      <c r="K8" s="12"/>
      <c r="L8" s="12"/>
      <c r="M8" s="12"/>
      <c r="N8" s="17">
        <v>0.11</v>
      </c>
      <c r="O8" s="17">
        <v>0.16</v>
      </c>
      <c r="P8" s="7"/>
    </row>
    <row r="9">
      <c r="A9" s="7"/>
      <c r="B9" s="7"/>
      <c r="C9" s="7"/>
      <c r="D9" s="7"/>
      <c r="E9" s="7"/>
      <c r="F9" s="7"/>
      <c r="G9" s="27"/>
      <c r="H9" s="22">
        <f t="shared" si="1"/>
        <v>0</v>
      </c>
      <c r="I9" s="17"/>
      <c r="J9" s="7"/>
      <c r="K9" s="12"/>
      <c r="L9" s="12"/>
      <c r="M9" s="12"/>
      <c r="N9" s="17"/>
      <c r="O9" s="17"/>
      <c r="P9" s="7"/>
    </row>
    <row r="10">
      <c r="A10" s="7"/>
      <c r="B10" s="7"/>
      <c r="C10" s="7"/>
      <c r="D10" s="7"/>
      <c r="E10" s="7"/>
      <c r="F10" s="7"/>
      <c r="G10" s="27"/>
      <c r="H10" s="22">
        <f t="shared" si="1"/>
        <v>0</v>
      </c>
      <c r="I10" s="17"/>
      <c r="J10" s="7"/>
      <c r="K10" s="12"/>
      <c r="L10" s="12"/>
      <c r="M10" s="12"/>
      <c r="N10" s="17"/>
      <c r="O10" s="17"/>
      <c r="P10" s="7"/>
    </row>
    <row r="11">
      <c r="A11" s="7"/>
      <c r="B11" s="7"/>
      <c r="C11" s="7"/>
      <c r="D11" s="7"/>
      <c r="E11" s="7"/>
      <c r="F11" s="7"/>
      <c r="G11" s="27"/>
      <c r="H11" s="22">
        <f t="shared" si="1"/>
        <v>0</v>
      </c>
      <c r="I11" s="17"/>
      <c r="J11" s="7"/>
      <c r="K11" s="12"/>
      <c r="L11" s="12"/>
      <c r="M11" s="12"/>
      <c r="N11" s="17"/>
      <c r="O11" s="17"/>
      <c r="P11" s="7"/>
    </row>
    <row r="12">
      <c r="A12" s="7"/>
      <c r="B12" s="7"/>
      <c r="C12" s="7"/>
      <c r="D12" s="7"/>
      <c r="E12" s="7"/>
      <c r="F12" s="7"/>
      <c r="G12" s="27"/>
      <c r="H12" s="22">
        <f t="shared" si="1"/>
        <v>0</v>
      </c>
      <c r="I12" s="17"/>
      <c r="J12" s="7"/>
      <c r="K12" s="12"/>
      <c r="L12" s="12"/>
      <c r="M12" s="12"/>
      <c r="N12" s="17"/>
      <c r="O12" s="17"/>
      <c r="P12" s="7"/>
    </row>
    <row r="13">
      <c r="A13" s="7"/>
      <c r="B13" s="7"/>
      <c r="C13" s="7"/>
      <c r="D13" s="7"/>
      <c r="E13" s="7"/>
      <c r="F13" s="7"/>
      <c r="G13" s="27"/>
      <c r="H13" s="22">
        <f t="shared" si="1"/>
        <v>0</v>
      </c>
      <c r="I13" s="17"/>
      <c r="J13" s="7"/>
      <c r="K13" s="12"/>
      <c r="L13" s="12"/>
      <c r="M13" s="12"/>
      <c r="N13" s="17"/>
      <c r="O13" s="17"/>
      <c r="P13" s="7"/>
    </row>
    <row r="14">
      <c r="A14" s="7"/>
      <c r="B14" s="7"/>
      <c r="C14" s="7"/>
      <c r="D14" s="7"/>
      <c r="E14" s="7"/>
      <c r="F14" s="7"/>
      <c r="G14" s="27"/>
      <c r="H14" s="22">
        <f t="shared" si="1"/>
        <v>0</v>
      </c>
      <c r="I14" s="17"/>
      <c r="J14" s="7"/>
      <c r="K14" s="12"/>
      <c r="L14" s="12"/>
      <c r="M14" s="12"/>
      <c r="N14" s="17"/>
      <c r="O14" s="17"/>
      <c r="P14" s="7"/>
    </row>
    <row r="15">
      <c r="A15" s="7"/>
      <c r="B15" s="7"/>
      <c r="C15" s="7"/>
      <c r="D15" s="7"/>
      <c r="E15" s="7"/>
      <c r="F15" s="7"/>
      <c r="G15" s="27"/>
      <c r="H15" s="22">
        <f t="shared" si="1"/>
        <v>0</v>
      </c>
      <c r="I15" s="17"/>
      <c r="J15" s="7"/>
      <c r="K15" s="12"/>
      <c r="L15" s="12"/>
      <c r="M15" s="12"/>
      <c r="N15" s="17"/>
      <c r="O15" s="17"/>
      <c r="P15" s="7"/>
    </row>
    <row r="16">
      <c r="A16" s="7"/>
      <c r="B16" s="7"/>
      <c r="C16" s="7"/>
      <c r="D16" s="7"/>
      <c r="E16" s="7"/>
      <c r="F16" s="7"/>
      <c r="G16" s="27"/>
      <c r="H16" s="22">
        <f t="shared" si="1"/>
        <v>0</v>
      </c>
      <c r="I16" s="17"/>
      <c r="J16" s="7"/>
      <c r="K16" s="12"/>
      <c r="L16" s="12"/>
      <c r="M16" s="12"/>
      <c r="N16" s="17"/>
      <c r="O16" s="17"/>
      <c r="P16" s="7"/>
    </row>
    <row r="17">
      <c r="A17" s="7"/>
      <c r="B17" s="7"/>
      <c r="C17" s="7"/>
      <c r="D17" s="7"/>
      <c r="E17" s="7"/>
      <c r="F17" s="7"/>
      <c r="G17" s="27"/>
      <c r="H17" s="22">
        <f t="shared" si="1"/>
        <v>0</v>
      </c>
      <c r="I17" s="17"/>
      <c r="J17" s="7"/>
      <c r="K17" s="12"/>
      <c r="L17" s="12"/>
      <c r="M17" s="12"/>
      <c r="N17" s="17"/>
      <c r="O17" s="17"/>
      <c r="P17" s="7"/>
    </row>
    <row r="18">
      <c r="A18" s="7"/>
      <c r="B18" s="7"/>
      <c r="C18" s="7"/>
      <c r="D18" s="7"/>
      <c r="E18" s="7"/>
      <c r="F18" s="7"/>
      <c r="G18" s="27"/>
      <c r="H18" s="22">
        <f t="shared" si="1"/>
        <v>0</v>
      </c>
      <c r="I18" s="17"/>
      <c r="J18" s="7"/>
      <c r="K18" s="12"/>
      <c r="L18" s="12"/>
      <c r="M18" s="12"/>
      <c r="N18" s="17"/>
      <c r="O18" s="17"/>
      <c r="P18" s="7"/>
    </row>
    <row r="19">
      <c r="A19" s="7"/>
      <c r="B19" s="7"/>
      <c r="C19" s="7"/>
      <c r="D19" s="7"/>
      <c r="E19" s="7"/>
      <c r="F19" s="7"/>
      <c r="G19" s="27"/>
      <c r="H19" s="22">
        <f t="shared" si="1"/>
        <v>0</v>
      </c>
      <c r="I19" s="17"/>
      <c r="J19" s="7"/>
      <c r="K19" s="12"/>
      <c r="L19" s="12"/>
      <c r="M19" s="12"/>
      <c r="N19" s="17"/>
      <c r="O19" s="17"/>
      <c r="P19" s="7"/>
    </row>
    <row r="20">
      <c r="A20" s="7"/>
      <c r="B20" s="7"/>
      <c r="C20" s="7"/>
      <c r="D20" s="7"/>
      <c r="E20" s="7"/>
      <c r="F20" s="7"/>
      <c r="G20" s="27"/>
      <c r="H20" s="22">
        <f t="shared" si="1"/>
        <v>0</v>
      </c>
      <c r="I20" s="17"/>
      <c r="J20" s="7"/>
      <c r="K20" s="12"/>
      <c r="L20" s="12"/>
      <c r="M20" s="12"/>
      <c r="N20" s="17"/>
      <c r="O20" s="17"/>
      <c r="P20" s="7"/>
    </row>
    <row r="21">
      <c r="A21" s="7"/>
      <c r="B21" s="7"/>
      <c r="C21" s="7"/>
      <c r="D21" s="7"/>
      <c r="E21" s="7"/>
      <c r="F21" s="7"/>
      <c r="G21" s="27"/>
      <c r="H21" s="22">
        <f t="shared" si="1"/>
        <v>0</v>
      </c>
      <c r="I21" s="17"/>
      <c r="J21" s="7"/>
      <c r="K21" s="12"/>
      <c r="L21" s="12"/>
      <c r="M21" s="12"/>
      <c r="N21" s="17"/>
      <c r="O21" s="17"/>
      <c r="P21" s="7"/>
    </row>
    <row r="22">
      <c r="A22" s="7"/>
      <c r="B22" s="7"/>
      <c r="C22" s="7"/>
      <c r="D22" s="7"/>
      <c r="E22" s="7"/>
      <c r="F22" s="7"/>
      <c r="G22" s="27"/>
      <c r="H22" s="22">
        <f t="shared" si="1"/>
        <v>0</v>
      </c>
      <c r="I22" s="17"/>
      <c r="J22" s="7"/>
      <c r="K22" s="12"/>
      <c r="L22" s="12"/>
      <c r="M22" s="12"/>
      <c r="N22" s="17"/>
      <c r="O22" s="17"/>
      <c r="P22" s="7"/>
    </row>
    <row r="23">
      <c r="A23" s="7"/>
      <c r="B23" s="7"/>
      <c r="C23" s="7"/>
      <c r="D23" s="7"/>
      <c r="E23" s="7"/>
      <c r="F23" s="7"/>
      <c r="G23" s="27"/>
      <c r="H23" s="22">
        <f t="shared" si="1"/>
        <v>0</v>
      </c>
      <c r="I23" s="17"/>
      <c r="J23" s="7"/>
      <c r="K23" s="12"/>
      <c r="L23" s="12"/>
      <c r="M23" s="12"/>
      <c r="N23" s="17"/>
      <c r="O23" s="17"/>
      <c r="P23" s="7"/>
    </row>
    <row r="24">
      <c r="A24" s="7"/>
      <c r="B24" s="7"/>
      <c r="C24" s="7"/>
      <c r="D24" s="7"/>
      <c r="E24" s="7"/>
      <c r="F24" s="7"/>
      <c r="G24" s="27"/>
      <c r="H24" s="22">
        <f t="shared" si="1"/>
        <v>0</v>
      </c>
      <c r="I24" s="17"/>
      <c r="J24" s="7"/>
      <c r="K24" s="12"/>
      <c r="L24" s="12"/>
      <c r="M24" s="12"/>
      <c r="N24" s="17"/>
      <c r="O24" s="17"/>
      <c r="P24" s="7"/>
    </row>
    <row r="25">
      <c r="A25" s="7"/>
      <c r="B25" s="7"/>
      <c r="C25" s="7"/>
      <c r="D25" s="7"/>
      <c r="E25" s="7"/>
      <c r="F25" s="7"/>
      <c r="G25" s="27"/>
      <c r="H25" s="22">
        <f t="shared" si="1"/>
        <v>0</v>
      </c>
      <c r="I25" s="17"/>
      <c r="J25" s="7"/>
      <c r="K25" s="12"/>
      <c r="L25" s="12"/>
      <c r="M25" s="12"/>
      <c r="N25" s="17"/>
      <c r="O25" s="17"/>
      <c r="P25" s="7"/>
    </row>
    <row r="26">
      <c r="A26" s="7"/>
      <c r="B26" s="7"/>
      <c r="C26" s="7"/>
      <c r="D26" s="7"/>
      <c r="E26" s="7"/>
      <c r="F26" s="7"/>
      <c r="G26" s="27"/>
      <c r="H26" s="22">
        <f t="shared" si="1"/>
        <v>0</v>
      </c>
      <c r="I26" s="17"/>
      <c r="J26" s="7"/>
      <c r="K26" s="12"/>
      <c r="L26" s="12"/>
      <c r="M26" s="12"/>
      <c r="N26" s="17"/>
      <c r="O26" s="17"/>
      <c r="P26" s="7"/>
    </row>
    <row r="27">
      <c r="A27" s="7"/>
      <c r="B27" s="7"/>
      <c r="C27" s="7"/>
      <c r="D27" s="7"/>
      <c r="E27" s="7"/>
      <c r="F27" s="7"/>
      <c r="G27" s="27"/>
      <c r="H27" s="22">
        <f t="shared" si="1"/>
        <v>0</v>
      </c>
      <c r="I27" s="17"/>
      <c r="J27" s="7"/>
      <c r="K27" s="12"/>
      <c r="L27" s="12"/>
      <c r="M27" s="12"/>
      <c r="N27" s="17"/>
      <c r="O27" s="17"/>
      <c r="P27" s="7"/>
    </row>
    <row r="28">
      <c r="A28" s="7"/>
      <c r="B28" s="7"/>
      <c r="C28" s="7"/>
      <c r="D28" s="7"/>
      <c r="E28" s="7"/>
      <c r="F28" s="7"/>
      <c r="G28" s="27"/>
      <c r="H28" s="22">
        <f t="shared" si="1"/>
        <v>0</v>
      </c>
      <c r="I28" s="17"/>
      <c r="J28" s="7"/>
      <c r="K28" s="12"/>
      <c r="L28" s="12"/>
      <c r="M28" s="12"/>
      <c r="N28" s="17"/>
      <c r="O28" s="17"/>
      <c r="P28" s="7"/>
    </row>
    <row r="29">
      <c r="A29" s="7"/>
      <c r="B29" s="7"/>
      <c r="C29" s="7"/>
      <c r="D29" s="7"/>
      <c r="E29" s="7"/>
      <c r="F29" s="7"/>
      <c r="G29" s="27"/>
      <c r="H29" s="22">
        <f t="shared" si="1"/>
        <v>0</v>
      </c>
      <c r="I29" s="17"/>
      <c r="J29" s="7"/>
      <c r="K29" s="12"/>
      <c r="L29" s="12"/>
      <c r="M29" s="12"/>
      <c r="N29" s="17"/>
      <c r="O29" s="17"/>
      <c r="P29" s="7"/>
    </row>
    <row r="30">
      <c r="A30" s="7"/>
      <c r="B30" s="7"/>
      <c r="C30" s="7"/>
      <c r="D30" s="7"/>
      <c r="E30" s="7"/>
      <c r="F30" s="7"/>
      <c r="G30" s="27"/>
      <c r="H30" s="22">
        <f t="shared" si="1"/>
        <v>0</v>
      </c>
      <c r="I30" s="17"/>
      <c r="J30" s="7"/>
      <c r="K30" s="12"/>
      <c r="L30" s="12"/>
      <c r="M30" s="12"/>
      <c r="N30" s="17"/>
      <c r="O30" s="17"/>
      <c r="P30" s="7"/>
    </row>
    <row r="31">
      <c r="A31" s="7"/>
      <c r="B31" s="7"/>
      <c r="C31" s="7"/>
      <c r="D31" s="7"/>
      <c r="E31" s="7"/>
      <c r="F31" s="7"/>
      <c r="G31" s="27"/>
      <c r="H31" s="22">
        <f t="shared" si="1"/>
        <v>0</v>
      </c>
      <c r="I31" s="17"/>
      <c r="J31" s="7"/>
      <c r="K31" s="12"/>
      <c r="L31" s="12"/>
      <c r="M31" s="12"/>
      <c r="N31" s="17"/>
      <c r="O31" s="17"/>
      <c r="P31" s="7"/>
    </row>
    <row r="32">
      <c r="A32" s="7"/>
      <c r="B32" s="7"/>
      <c r="C32" s="7"/>
      <c r="D32" s="7"/>
      <c r="E32" s="7"/>
      <c r="F32" s="7"/>
      <c r="G32" s="27"/>
      <c r="H32" s="22">
        <f t="shared" si="1"/>
        <v>0</v>
      </c>
      <c r="I32" s="17"/>
      <c r="J32" s="7"/>
      <c r="K32" s="12"/>
      <c r="L32" s="12"/>
      <c r="M32" s="12"/>
      <c r="N32" s="17"/>
      <c r="O32" s="17"/>
      <c r="P32" s="7"/>
    </row>
    <row r="33">
      <c r="A33" s="7"/>
      <c r="B33" s="7"/>
      <c r="C33" s="7"/>
      <c r="D33" s="7"/>
      <c r="E33" s="7"/>
      <c r="F33" s="7"/>
      <c r="G33" s="27"/>
      <c r="H33" s="22">
        <f t="shared" si="1"/>
        <v>0</v>
      </c>
      <c r="I33" s="17"/>
      <c r="J33" s="7"/>
      <c r="K33" s="12"/>
      <c r="L33" s="12"/>
      <c r="M33" s="12"/>
      <c r="N33" s="17"/>
      <c r="O33" s="17"/>
      <c r="P33" s="7"/>
    </row>
    <row r="34">
      <c r="A34" s="7"/>
      <c r="B34" s="7"/>
      <c r="C34" s="7"/>
      <c r="D34" s="7"/>
      <c r="E34" s="7"/>
      <c r="F34" s="7"/>
      <c r="G34" s="27"/>
      <c r="H34" s="22">
        <f t="shared" si="1"/>
        <v>0</v>
      </c>
      <c r="I34" s="17"/>
      <c r="J34" s="7"/>
      <c r="K34" s="12"/>
      <c r="L34" s="12"/>
      <c r="M34" s="12"/>
      <c r="N34" s="17"/>
      <c r="O34" s="17"/>
      <c r="P34" s="7"/>
    </row>
    <row r="35">
      <c r="A35" s="2"/>
      <c r="B35" s="2"/>
      <c r="C35" s="2"/>
      <c r="D35" s="2"/>
      <c r="E35" s="2"/>
      <c r="F35" s="2"/>
      <c r="G35" s="2"/>
      <c r="H35" s="2"/>
      <c r="I35" s="2"/>
      <c r="J35" s="2"/>
      <c r="K35" s="2"/>
      <c r="L35" s="2"/>
      <c r="M35" s="2"/>
      <c r="N35" s="2"/>
      <c r="O35" s="2"/>
      <c r="P35" s="2"/>
    </row>
    <row r="36">
      <c r="A36" s="9" t="s">
        <v>231</v>
      </c>
      <c r="B36" s="2"/>
      <c r="C36" s="2"/>
      <c r="D36" s="2"/>
      <c r="E36" s="2"/>
      <c r="F36" s="2"/>
      <c r="G36" s="2"/>
      <c r="H36" s="2"/>
      <c r="I36" s="2"/>
      <c r="J36" s="2"/>
      <c r="K36" s="2"/>
      <c r="L36" s="2"/>
      <c r="M36" s="2"/>
      <c r="N36" s="2"/>
      <c r="O36" s="2"/>
      <c r="P36" s="2"/>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0CABC"/>
    <outlinePr summaryBelow="0" summaryRight="0"/>
  </sheetPr>
  <sheetViews>
    <sheetView showGridLines="0" workbookViewId="0"/>
  </sheetViews>
  <sheetFormatPr customHeight="1" defaultColWidth="12.63" defaultRowHeight="15.75" outlineLevelCol="1"/>
  <cols>
    <col customWidth="1" min="1" max="1" width="37.63"/>
    <col customWidth="1" min="2" max="2" width="13.88"/>
    <col customWidth="1" min="3" max="3" width="32.63"/>
    <col customWidth="1" min="4" max="4" width="13.88"/>
    <col customWidth="1" min="5" max="5" width="12.63"/>
  </cols>
  <sheetData>
    <row r="1">
      <c r="A1" s="1" t="s">
        <v>205</v>
      </c>
      <c r="B1" s="2"/>
      <c r="C1" s="2"/>
      <c r="D1" s="2"/>
      <c r="E1" s="2"/>
    </row>
    <row r="2">
      <c r="A2" s="3" t="s">
        <v>207</v>
      </c>
      <c r="B2" s="2"/>
      <c r="C2" s="2"/>
      <c r="D2" s="2"/>
      <c r="E2" s="2"/>
    </row>
    <row r="3">
      <c r="A3" s="2"/>
      <c r="B3" s="2"/>
      <c r="C3" s="2"/>
      <c r="D3" s="2"/>
      <c r="E3" s="2"/>
    </row>
    <row r="4">
      <c r="A4" s="15" t="s">
        <v>208</v>
      </c>
      <c r="B4" s="15" t="s">
        <v>209</v>
      </c>
      <c r="C4" s="15" t="s">
        <v>210</v>
      </c>
      <c r="D4" s="15" t="s">
        <v>211</v>
      </c>
      <c r="E4" s="15" t="s">
        <v>212</v>
      </c>
    </row>
    <row r="5">
      <c r="A5" s="6" t="s">
        <v>213</v>
      </c>
      <c r="B5" s="17">
        <v>0.5</v>
      </c>
      <c r="C5" s="9" t="s">
        <v>214</v>
      </c>
      <c r="D5" s="10"/>
      <c r="E5" s="8" t="str">
        <f t="shared" ref="E5:E9" si="1">IF(D5="","VERIFY",IF(TODAY()-D5&gt;60,"STALE","OK"))</f>
        <v>VERIFY</v>
      </c>
    </row>
    <row r="6">
      <c r="A6" s="6" t="s">
        <v>216</v>
      </c>
      <c r="B6" s="17"/>
      <c r="C6" s="9" t="s">
        <v>217</v>
      </c>
      <c r="D6" s="10"/>
      <c r="E6" s="8" t="str">
        <f t="shared" si="1"/>
        <v>VERIFY</v>
      </c>
    </row>
    <row r="7">
      <c r="A7" s="6" t="s">
        <v>218</v>
      </c>
      <c r="B7" s="14">
        <v>167.0</v>
      </c>
      <c r="C7" s="9" t="s">
        <v>219</v>
      </c>
      <c r="D7" s="10"/>
      <c r="E7" s="8" t="str">
        <f t="shared" si="1"/>
        <v>VERIFY</v>
      </c>
    </row>
    <row r="8">
      <c r="A8" s="6" t="s">
        <v>220</v>
      </c>
      <c r="B8" s="12"/>
      <c r="C8" s="9" t="s">
        <v>221</v>
      </c>
      <c r="D8" s="10"/>
      <c r="E8" s="8" t="str">
        <f t="shared" si="1"/>
        <v>VERIFY</v>
      </c>
    </row>
    <row r="9">
      <c r="A9" s="6" t="s">
        <v>223</v>
      </c>
      <c r="B9" s="7"/>
      <c r="C9" s="9" t="s">
        <v>224</v>
      </c>
      <c r="D9" s="10"/>
      <c r="E9" s="8" t="str">
        <f t="shared" si="1"/>
        <v>VERIFY</v>
      </c>
    </row>
    <row r="10">
      <c r="A10" s="2"/>
      <c r="B10" s="2"/>
      <c r="C10" s="2"/>
      <c r="D10" s="2"/>
      <c r="E10" s="2"/>
    </row>
    <row r="11">
      <c r="A11" s="21" t="s">
        <v>226</v>
      </c>
      <c r="B11" s="2"/>
      <c r="C11" s="2"/>
      <c r="D11" s="2"/>
      <c r="E11" s="2"/>
    </row>
    <row r="12">
      <c r="A12" s="9" t="s">
        <v>227</v>
      </c>
      <c r="B12" s="2"/>
      <c r="C12" s="2"/>
      <c r="D12" s="2"/>
      <c r="E12" s="2"/>
    </row>
    <row r="13">
      <c r="A13" s="9" t="s">
        <v>228</v>
      </c>
      <c r="B13" s="2"/>
      <c r="C13" s="2"/>
      <c r="D13" s="2"/>
      <c r="E13" s="2"/>
    </row>
    <row r="14">
      <c r="A14" s="9" t="s">
        <v>229</v>
      </c>
      <c r="B14" s="2"/>
      <c r="C14" s="2"/>
      <c r="D14" s="2"/>
      <c r="E14" s="2"/>
    </row>
  </sheetData>
  <conditionalFormatting sqref="E5:E9">
    <cfRule type="expression" dxfId="2" priority="1" stopIfTrue="1">
      <formula>E5&lt;&gt;"OK"</formula>
    </cfRule>
  </conditionalFormatting>
  <conditionalFormatting sqref="E5:E9">
    <cfRule type="expression" dxfId="3" priority="2" stopIfTrue="1">
      <formula>E5="OK"</formula>
    </cfRule>
  </conditionalFormatting>
  <dataValidations>
    <dataValidation type="custom" allowBlank="1" showDropDown="1" sqref="D5:D9">
      <formula1>OR(NOT(ISERROR(DATEVALUE(D5))), AND(ISNUMBER(D5), LEFT(CELL("format", D5))="D"))</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0CABC"/>
    <outlinePr summaryBelow="0" summaryRight="0"/>
  </sheetPr>
  <sheetViews>
    <sheetView showGridLines="0" workbookViewId="0">
      <pane ySplit="4.0" topLeftCell="A5" activePane="bottomLeft" state="frozen"/>
      <selection activeCell="B6" sqref="B6" pane="bottomLeft"/>
    </sheetView>
  </sheetViews>
  <sheetFormatPr customHeight="1" defaultColWidth="12.63" defaultRowHeight="15.75" outlineLevelCol="1"/>
  <cols>
    <col customWidth="1" min="1" max="1" width="11.38"/>
    <col customWidth="1" min="2" max="2" width="20.13"/>
    <col customWidth="1" min="3" max="3" width="25.13"/>
    <col customWidth="1" min="4" max="4" width="8.88"/>
    <col customWidth="1" min="5" max="8" width="13.88"/>
    <col customWidth="1" min="9" max="9" width="16.38"/>
    <col customWidth="1" min="10" max="11" width="13.88"/>
    <col customWidth="1" min="12" max="12" width="37.63"/>
  </cols>
  <sheetData>
    <row r="1">
      <c r="A1" s="1" t="s">
        <v>233</v>
      </c>
      <c r="B1" s="2"/>
      <c r="C1" s="2"/>
      <c r="D1" s="2"/>
      <c r="E1" s="2"/>
      <c r="F1" s="2"/>
      <c r="G1" s="2"/>
      <c r="H1" s="2"/>
      <c r="I1" s="2"/>
      <c r="J1" s="2"/>
      <c r="K1" s="2"/>
      <c r="L1" s="2"/>
    </row>
    <row r="2">
      <c r="A2" s="3" t="s">
        <v>234</v>
      </c>
      <c r="B2" s="2"/>
      <c r="C2" s="2"/>
      <c r="D2" s="2"/>
      <c r="E2" s="2"/>
      <c r="F2" s="2"/>
      <c r="G2" s="2"/>
      <c r="H2" s="2"/>
      <c r="I2" s="2"/>
      <c r="J2" s="2"/>
      <c r="K2" s="2"/>
      <c r="L2" s="2"/>
    </row>
    <row r="3">
      <c r="A3" s="2"/>
      <c r="B3" s="2"/>
      <c r="C3" s="2"/>
      <c r="D3" s="2"/>
      <c r="E3" s="2"/>
      <c r="F3" s="2"/>
      <c r="G3" s="2"/>
      <c r="H3" s="2"/>
      <c r="I3" s="2"/>
      <c r="J3" s="2"/>
      <c r="K3" s="2"/>
      <c r="L3" s="2"/>
    </row>
    <row r="4">
      <c r="A4" s="15" t="s">
        <v>34</v>
      </c>
      <c r="B4" s="15" t="s">
        <v>237</v>
      </c>
      <c r="C4" s="15" t="s">
        <v>238</v>
      </c>
      <c r="D4" s="15" t="s">
        <v>60</v>
      </c>
      <c r="E4" s="15" t="s">
        <v>239</v>
      </c>
      <c r="F4" s="15" t="s">
        <v>240</v>
      </c>
      <c r="G4" s="15" t="s">
        <v>241</v>
      </c>
      <c r="H4" s="15" t="s">
        <v>242</v>
      </c>
      <c r="I4" s="15" t="s">
        <v>243</v>
      </c>
      <c r="J4" s="15" t="s">
        <v>244</v>
      </c>
      <c r="K4" s="15" t="s">
        <v>245</v>
      </c>
      <c r="L4" s="15" t="s">
        <v>246</v>
      </c>
    </row>
    <row r="5">
      <c r="A5" s="10"/>
      <c r="B5" s="7"/>
      <c r="C5" s="7"/>
      <c r="D5" s="7"/>
      <c r="E5" s="17"/>
      <c r="F5" s="17"/>
      <c r="G5" s="17"/>
      <c r="H5" s="17"/>
      <c r="I5" s="7"/>
      <c r="J5" s="11" t="str">
        <f t="shared" ref="J5:J54" si="1">IF(I5="","",INDEX(E5:H5,MATCH(I5,{"Amazon","Scenario 1","Scenario 2","Scenario 3"},0)))</f>
        <v/>
      </c>
      <c r="K5" s="11" t="str">
        <f t="shared" ref="K5:K54" si="2">IF(OR(J5="",E5=""),"",E5-J5)</f>
        <v/>
      </c>
      <c r="L5" s="7"/>
    </row>
    <row r="6">
      <c r="A6" s="10"/>
      <c r="B6" s="7"/>
      <c r="C6" s="7"/>
      <c r="D6" s="7"/>
      <c r="E6" s="17"/>
      <c r="F6" s="17"/>
      <c r="G6" s="17"/>
      <c r="H6" s="17"/>
      <c r="I6" s="7"/>
      <c r="J6" s="11" t="str">
        <f t="shared" si="1"/>
        <v/>
      </c>
      <c r="K6" s="11" t="str">
        <f t="shared" si="2"/>
        <v/>
      </c>
      <c r="L6" s="7"/>
    </row>
    <row r="7">
      <c r="A7" s="10"/>
      <c r="B7" s="7"/>
      <c r="C7" s="7"/>
      <c r="D7" s="7"/>
      <c r="E7" s="17"/>
      <c r="F7" s="17"/>
      <c r="G7" s="17"/>
      <c r="H7" s="17"/>
      <c r="I7" s="7"/>
      <c r="J7" s="11" t="str">
        <f t="shared" si="1"/>
        <v/>
      </c>
      <c r="K7" s="11" t="str">
        <f t="shared" si="2"/>
        <v/>
      </c>
      <c r="L7" s="7"/>
    </row>
    <row r="8">
      <c r="A8" s="10"/>
      <c r="B8" s="7"/>
      <c r="C8" s="7"/>
      <c r="D8" s="7"/>
      <c r="E8" s="17"/>
      <c r="F8" s="17"/>
      <c r="G8" s="17"/>
      <c r="H8" s="17"/>
      <c r="I8" s="7"/>
      <c r="J8" s="11" t="str">
        <f t="shared" si="1"/>
        <v/>
      </c>
      <c r="K8" s="11" t="str">
        <f t="shared" si="2"/>
        <v/>
      </c>
      <c r="L8" s="7"/>
    </row>
    <row r="9">
      <c r="A9" s="10"/>
      <c r="B9" s="7"/>
      <c r="C9" s="7"/>
      <c r="D9" s="7"/>
      <c r="E9" s="17"/>
      <c r="F9" s="17"/>
      <c r="G9" s="17"/>
      <c r="H9" s="17"/>
      <c r="I9" s="7"/>
      <c r="J9" s="11" t="str">
        <f t="shared" si="1"/>
        <v/>
      </c>
      <c r="K9" s="11" t="str">
        <f t="shared" si="2"/>
        <v/>
      </c>
      <c r="L9" s="7"/>
    </row>
    <row r="10">
      <c r="A10" s="10"/>
      <c r="B10" s="7"/>
      <c r="C10" s="7"/>
      <c r="D10" s="7"/>
      <c r="E10" s="17"/>
      <c r="F10" s="17"/>
      <c r="G10" s="17"/>
      <c r="H10" s="17"/>
      <c r="I10" s="7"/>
      <c r="J10" s="11" t="str">
        <f t="shared" si="1"/>
        <v/>
      </c>
      <c r="K10" s="11" t="str">
        <f t="shared" si="2"/>
        <v/>
      </c>
      <c r="L10" s="7"/>
    </row>
    <row r="11">
      <c r="A11" s="10"/>
      <c r="B11" s="7"/>
      <c r="C11" s="7"/>
      <c r="D11" s="7"/>
      <c r="E11" s="17"/>
      <c r="F11" s="17"/>
      <c r="G11" s="17"/>
      <c r="H11" s="17"/>
      <c r="I11" s="7"/>
      <c r="J11" s="11" t="str">
        <f t="shared" si="1"/>
        <v/>
      </c>
      <c r="K11" s="11" t="str">
        <f t="shared" si="2"/>
        <v/>
      </c>
      <c r="L11" s="7"/>
    </row>
    <row r="12">
      <c r="A12" s="10"/>
      <c r="B12" s="7"/>
      <c r="C12" s="7"/>
      <c r="D12" s="7"/>
      <c r="E12" s="17"/>
      <c r="F12" s="17"/>
      <c r="G12" s="17"/>
      <c r="H12" s="17"/>
      <c r="I12" s="7"/>
      <c r="J12" s="11" t="str">
        <f t="shared" si="1"/>
        <v/>
      </c>
      <c r="K12" s="11" t="str">
        <f t="shared" si="2"/>
        <v/>
      </c>
      <c r="L12" s="7"/>
    </row>
    <row r="13">
      <c r="A13" s="10"/>
      <c r="B13" s="7"/>
      <c r="C13" s="7"/>
      <c r="D13" s="7"/>
      <c r="E13" s="17"/>
      <c r="F13" s="17"/>
      <c r="G13" s="17"/>
      <c r="H13" s="17"/>
      <c r="I13" s="7"/>
      <c r="J13" s="11" t="str">
        <f t="shared" si="1"/>
        <v/>
      </c>
      <c r="K13" s="11" t="str">
        <f t="shared" si="2"/>
        <v/>
      </c>
      <c r="L13" s="7"/>
    </row>
    <row r="14">
      <c r="A14" s="10"/>
      <c r="B14" s="7"/>
      <c r="C14" s="7"/>
      <c r="D14" s="7"/>
      <c r="E14" s="17"/>
      <c r="F14" s="17"/>
      <c r="G14" s="17"/>
      <c r="H14" s="17"/>
      <c r="I14" s="7"/>
      <c r="J14" s="11" t="str">
        <f t="shared" si="1"/>
        <v/>
      </c>
      <c r="K14" s="11" t="str">
        <f t="shared" si="2"/>
        <v/>
      </c>
      <c r="L14" s="7"/>
    </row>
    <row r="15">
      <c r="A15" s="10"/>
      <c r="B15" s="7"/>
      <c r="C15" s="7"/>
      <c r="D15" s="7"/>
      <c r="E15" s="17"/>
      <c r="F15" s="17"/>
      <c r="G15" s="17"/>
      <c r="H15" s="17"/>
      <c r="I15" s="7"/>
      <c r="J15" s="11" t="str">
        <f t="shared" si="1"/>
        <v/>
      </c>
      <c r="K15" s="11" t="str">
        <f t="shared" si="2"/>
        <v/>
      </c>
      <c r="L15" s="7"/>
    </row>
    <row r="16">
      <c r="A16" s="10"/>
      <c r="B16" s="7"/>
      <c r="C16" s="7"/>
      <c r="D16" s="7"/>
      <c r="E16" s="17"/>
      <c r="F16" s="17"/>
      <c r="G16" s="17"/>
      <c r="H16" s="17"/>
      <c r="I16" s="7"/>
      <c r="J16" s="11" t="str">
        <f t="shared" si="1"/>
        <v/>
      </c>
      <c r="K16" s="11" t="str">
        <f t="shared" si="2"/>
        <v/>
      </c>
      <c r="L16" s="7"/>
    </row>
    <row r="17">
      <c r="A17" s="10"/>
      <c r="B17" s="7"/>
      <c r="C17" s="7"/>
      <c r="D17" s="7"/>
      <c r="E17" s="17"/>
      <c r="F17" s="17"/>
      <c r="G17" s="17"/>
      <c r="H17" s="17"/>
      <c r="I17" s="7"/>
      <c r="J17" s="11" t="str">
        <f t="shared" si="1"/>
        <v/>
      </c>
      <c r="K17" s="11" t="str">
        <f t="shared" si="2"/>
        <v/>
      </c>
      <c r="L17" s="7"/>
    </row>
    <row r="18">
      <c r="A18" s="10"/>
      <c r="B18" s="7"/>
      <c r="C18" s="7"/>
      <c r="D18" s="7"/>
      <c r="E18" s="17"/>
      <c r="F18" s="17"/>
      <c r="G18" s="17"/>
      <c r="H18" s="17"/>
      <c r="I18" s="7"/>
      <c r="J18" s="11" t="str">
        <f t="shared" si="1"/>
        <v/>
      </c>
      <c r="K18" s="11" t="str">
        <f t="shared" si="2"/>
        <v/>
      </c>
      <c r="L18" s="7"/>
    </row>
    <row r="19">
      <c r="A19" s="10"/>
      <c r="B19" s="7"/>
      <c r="C19" s="7"/>
      <c r="D19" s="7"/>
      <c r="E19" s="17"/>
      <c r="F19" s="17"/>
      <c r="G19" s="17"/>
      <c r="H19" s="17"/>
      <c r="I19" s="7"/>
      <c r="J19" s="11" t="str">
        <f t="shared" si="1"/>
        <v/>
      </c>
      <c r="K19" s="11" t="str">
        <f t="shared" si="2"/>
        <v/>
      </c>
      <c r="L19" s="7"/>
    </row>
    <row r="20">
      <c r="A20" s="10"/>
      <c r="B20" s="7"/>
      <c r="C20" s="7"/>
      <c r="D20" s="7"/>
      <c r="E20" s="17"/>
      <c r="F20" s="17"/>
      <c r="G20" s="17"/>
      <c r="H20" s="17"/>
      <c r="I20" s="7"/>
      <c r="J20" s="11" t="str">
        <f t="shared" si="1"/>
        <v/>
      </c>
      <c r="K20" s="11" t="str">
        <f t="shared" si="2"/>
        <v/>
      </c>
      <c r="L20" s="7"/>
    </row>
    <row r="21">
      <c r="A21" s="10"/>
      <c r="B21" s="7"/>
      <c r="C21" s="7"/>
      <c r="D21" s="7"/>
      <c r="E21" s="17"/>
      <c r="F21" s="17"/>
      <c r="G21" s="17"/>
      <c r="H21" s="17"/>
      <c r="I21" s="7"/>
      <c r="J21" s="11" t="str">
        <f t="shared" si="1"/>
        <v/>
      </c>
      <c r="K21" s="11" t="str">
        <f t="shared" si="2"/>
        <v/>
      </c>
      <c r="L21" s="7"/>
    </row>
    <row r="22">
      <c r="A22" s="10"/>
      <c r="B22" s="7"/>
      <c r="C22" s="7"/>
      <c r="D22" s="7"/>
      <c r="E22" s="17"/>
      <c r="F22" s="17"/>
      <c r="G22" s="17"/>
      <c r="H22" s="17"/>
      <c r="I22" s="7"/>
      <c r="J22" s="11" t="str">
        <f t="shared" si="1"/>
        <v/>
      </c>
      <c r="K22" s="11" t="str">
        <f t="shared" si="2"/>
        <v/>
      </c>
      <c r="L22" s="7"/>
    </row>
    <row r="23">
      <c r="A23" s="10"/>
      <c r="B23" s="7"/>
      <c r="C23" s="7"/>
      <c r="D23" s="7"/>
      <c r="E23" s="17"/>
      <c r="F23" s="17"/>
      <c r="G23" s="17"/>
      <c r="H23" s="17"/>
      <c r="I23" s="7"/>
      <c r="J23" s="11" t="str">
        <f t="shared" si="1"/>
        <v/>
      </c>
      <c r="K23" s="11" t="str">
        <f t="shared" si="2"/>
        <v/>
      </c>
      <c r="L23" s="7"/>
    </row>
    <row r="24">
      <c r="A24" s="10"/>
      <c r="B24" s="7"/>
      <c r="C24" s="7"/>
      <c r="D24" s="7"/>
      <c r="E24" s="17"/>
      <c r="F24" s="17"/>
      <c r="G24" s="17"/>
      <c r="H24" s="17"/>
      <c r="I24" s="7"/>
      <c r="J24" s="11" t="str">
        <f t="shared" si="1"/>
        <v/>
      </c>
      <c r="K24" s="11" t="str">
        <f t="shared" si="2"/>
        <v/>
      </c>
      <c r="L24" s="7"/>
    </row>
    <row r="25">
      <c r="A25" s="10"/>
      <c r="B25" s="7"/>
      <c r="C25" s="7"/>
      <c r="D25" s="7"/>
      <c r="E25" s="17"/>
      <c r="F25" s="17"/>
      <c r="G25" s="17"/>
      <c r="H25" s="17"/>
      <c r="I25" s="7"/>
      <c r="J25" s="11" t="str">
        <f t="shared" si="1"/>
        <v/>
      </c>
      <c r="K25" s="11" t="str">
        <f t="shared" si="2"/>
        <v/>
      </c>
      <c r="L25" s="7"/>
    </row>
    <row r="26">
      <c r="A26" s="10"/>
      <c r="B26" s="7"/>
      <c r="C26" s="7"/>
      <c r="D26" s="7"/>
      <c r="E26" s="17"/>
      <c r="F26" s="17"/>
      <c r="G26" s="17"/>
      <c r="H26" s="17"/>
      <c r="I26" s="7"/>
      <c r="J26" s="11" t="str">
        <f t="shared" si="1"/>
        <v/>
      </c>
      <c r="K26" s="11" t="str">
        <f t="shared" si="2"/>
        <v/>
      </c>
      <c r="L26" s="7"/>
    </row>
    <row r="27">
      <c r="A27" s="10"/>
      <c r="B27" s="7"/>
      <c r="C27" s="7"/>
      <c r="D27" s="7"/>
      <c r="E27" s="17"/>
      <c r="F27" s="17"/>
      <c r="G27" s="17"/>
      <c r="H27" s="17"/>
      <c r="I27" s="7"/>
      <c r="J27" s="11" t="str">
        <f t="shared" si="1"/>
        <v/>
      </c>
      <c r="K27" s="11" t="str">
        <f t="shared" si="2"/>
        <v/>
      </c>
      <c r="L27" s="7"/>
    </row>
    <row r="28">
      <c r="A28" s="10"/>
      <c r="B28" s="7"/>
      <c r="C28" s="7"/>
      <c r="D28" s="7"/>
      <c r="E28" s="17"/>
      <c r="F28" s="17"/>
      <c r="G28" s="17"/>
      <c r="H28" s="17"/>
      <c r="I28" s="7"/>
      <c r="J28" s="11" t="str">
        <f t="shared" si="1"/>
        <v/>
      </c>
      <c r="K28" s="11" t="str">
        <f t="shared" si="2"/>
        <v/>
      </c>
      <c r="L28" s="7"/>
    </row>
    <row r="29">
      <c r="A29" s="10"/>
      <c r="B29" s="7"/>
      <c r="C29" s="7"/>
      <c r="D29" s="7"/>
      <c r="E29" s="17"/>
      <c r="F29" s="17"/>
      <c r="G29" s="17"/>
      <c r="H29" s="17"/>
      <c r="I29" s="7"/>
      <c r="J29" s="11" t="str">
        <f t="shared" si="1"/>
        <v/>
      </c>
      <c r="K29" s="11" t="str">
        <f t="shared" si="2"/>
        <v/>
      </c>
      <c r="L29" s="7"/>
    </row>
    <row r="30">
      <c r="A30" s="10"/>
      <c r="B30" s="7"/>
      <c r="C30" s="7"/>
      <c r="D30" s="7"/>
      <c r="E30" s="17"/>
      <c r="F30" s="17"/>
      <c r="G30" s="17"/>
      <c r="H30" s="17"/>
      <c r="I30" s="7"/>
      <c r="J30" s="11" t="str">
        <f t="shared" si="1"/>
        <v/>
      </c>
      <c r="K30" s="11" t="str">
        <f t="shared" si="2"/>
        <v/>
      </c>
      <c r="L30" s="7"/>
    </row>
    <row r="31">
      <c r="A31" s="10"/>
      <c r="B31" s="7"/>
      <c r="C31" s="7"/>
      <c r="D31" s="7"/>
      <c r="E31" s="17"/>
      <c r="F31" s="17"/>
      <c r="G31" s="17"/>
      <c r="H31" s="17"/>
      <c r="I31" s="7"/>
      <c r="J31" s="11" t="str">
        <f t="shared" si="1"/>
        <v/>
      </c>
      <c r="K31" s="11" t="str">
        <f t="shared" si="2"/>
        <v/>
      </c>
      <c r="L31" s="7"/>
    </row>
    <row r="32">
      <c r="A32" s="10"/>
      <c r="B32" s="7"/>
      <c r="C32" s="7"/>
      <c r="D32" s="7"/>
      <c r="E32" s="17"/>
      <c r="F32" s="17"/>
      <c r="G32" s="17"/>
      <c r="H32" s="17"/>
      <c r="I32" s="7"/>
      <c r="J32" s="11" t="str">
        <f t="shared" si="1"/>
        <v/>
      </c>
      <c r="K32" s="11" t="str">
        <f t="shared" si="2"/>
        <v/>
      </c>
      <c r="L32" s="7"/>
    </row>
    <row r="33">
      <c r="A33" s="10"/>
      <c r="B33" s="7"/>
      <c r="C33" s="7"/>
      <c r="D33" s="7"/>
      <c r="E33" s="17"/>
      <c r="F33" s="17"/>
      <c r="G33" s="17"/>
      <c r="H33" s="17"/>
      <c r="I33" s="7"/>
      <c r="J33" s="11" t="str">
        <f t="shared" si="1"/>
        <v/>
      </c>
      <c r="K33" s="11" t="str">
        <f t="shared" si="2"/>
        <v/>
      </c>
      <c r="L33" s="7"/>
    </row>
    <row r="34">
      <c r="A34" s="10"/>
      <c r="B34" s="7"/>
      <c r="C34" s="7"/>
      <c r="D34" s="7"/>
      <c r="E34" s="17"/>
      <c r="F34" s="17"/>
      <c r="G34" s="17"/>
      <c r="H34" s="17"/>
      <c r="I34" s="7"/>
      <c r="J34" s="11" t="str">
        <f t="shared" si="1"/>
        <v/>
      </c>
      <c r="K34" s="11" t="str">
        <f t="shared" si="2"/>
        <v/>
      </c>
      <c r="L34" s="7"/>
    </row>
    <row r="35">
      <c r="A35" s="10"/>
      <c r="B35" s="7"/>
      <c r="C35" s="7"/>
      <c r="D35" s="7"/>
      <c r="E35" s="17"/>
      <c r="F35" s="17"/>
      <c r="G35" s="17"/>
      <c r="H35" s="17"/>
      <c r="I35" s="7"/>
      <c r="J35" s="11" t="str">
        <f t="shared" si="1"/>
        <v/>
      </c>
      <c r="K35" s="11" t="str">
        <f t="shared" si="2"/>
        <v/>
      </c>
      <c r="L35" s="7"/>
    </row>
    <row r="36">
      <c r="A36" s="10"/>
      <c r="B36" s="7"/>
      <c r="C36" s="7"/>
      <c r="D36" s="7"/>
      <c r="E36" s="17"/>
      <c r="F36" s="17"/>
      <c r="G36" s="17"/>
      <c r="H36" s="17"/>
      <c r="I36" s="7"/>
      <c r="J36" s="11" t="str">
        <f t="shared" si="1"/>
        <v/>
      </c>
      <c r="K36" s="11" t="str">
        <f t="shared" si="2"/>
        <v/>
      </c>
      <c r="L36" s="7"/>
    </row>
    <row r="37">
      <c r="A37" s="10"/>
      <c r="B37" s="7"/>
      <c r="C37" s="7"/>
      <c r="D37" s="7"/>
      <c r="E37" s="17"/>
      <c r="F37" s="17"/>
      <c r="G37" s="17"/>
      <c r="H37" s="17"/>
      <c r="I37" s="7"/>
      <c r="J37" s="11" t="str">
        <f t="shared" si="1"/>
        <v/>
      </c>
      <c r="K37" s="11" t="str">
        <f t="shared" si="2"/>
        <v/>
      </c>
      <c r="L37" s="7"/>
    </row>
    <row r="38">
      <c r="A38" s="10"/>
      <c r="B38" s="7"/>
      <c r="C38" s="7"/>
      <c r="D38" s="7"/>
      <c r="E38" s="17"/>
      <c r="F38" s="17"/>
      <c r="G38" s="17"/>
      <c r="H38" s="17"/>
      <c r="I38" s="7"/>
      <c r="J38" s="11" t="str">
        <f t="shared" si="1"/>
        <v/>
      </c>
      <c r="K38" s="11" t="str">
        <f t="shared" si="2"/>
        <v/>
      </c>
      <c r="L38" s="7"/>
    </row>
    <row r="39">
      <c r="A39" s="10"/>
      <c r="B39" s="7"/>
      <c r="C39" s="7"/>
      <c r="D39" s="7"/>
      <c r="E39" s="17"/>
      <c r="F39" s="17"/>
      <c r="G39" s="17"/>
      <c r="H39" s="17"/>
      <c r="I39" s="7"/>
      <c r="J39" s="11" t="str">
        <f t="shared" si="1"/>
        <v/>
      </c>
      <c r="K39" s="11" t="str">
        <f t="shared" si="2"/>
        <v/>
      </c>
      <c r="L39" s="7"/>
    </row>
    <row r="40">
      <c r="A40" s="10"/>
      <c r="B40" s="7"/>
      <c r="C40" s="7"/>
      <c r="D40" s="7"/>
      <c r="E40" s="17"/>
      <c r="F40" s="17"/>
      <c r="G40" s="17"/>
      <c r="H40" s="17"/>
      <c r="I40" s="7"/>
      <c r="J40" s="11" t="str">
        <f t="shared" si="1"/>
        <v/>
      </c>
      <c r="K40" s="11" t="str">
        <f t="shared" si="2"/>
        <v/>
      </c>
      <c r="L40" s="7"/>
    </row>
    <row r="41">
      <c r="A41" s="10"/>
      <c r="B41" s="7"/>
      <c r="C41" s="7"/>
      <c r="D41" s="7"/>
      <c r="E41" s="17"/>
      <c r="F41" s="17"/>
      <c r="G41" s="17"/>
      <c r="H41" s="17"/>
      <c r="I41" s="7"/>
      <c r="J41" s="11" t="str">
        <f t="shared" si="1"/>
        <v/>
      </c>
      <c r="K41" s="11" t="str">
        <f t="shared" si="2"/>
        <v/>
      </c>
      <c r="L41" s="7"/>
    </row>
    <row r="42">
      <c r="A42" s="10"/>
      <c r="B42" s="7"/>
      <c r="C42" s="7"/>
      <c r="D42" s="7"/>
      <c r="E42" s="17"/>
      <c r="F42" s="17"/>
      <c r="G42" s="17"/>
      <c r="H42" s="17"/>
      <c r="I42" s="7"/>
      <c r="J42" s="11" t="str">
        <f t="shared" si="1"/>
        <v/>
      </c>
      <c r="K42" s="11" t="str">
        <f t="shared" si="2"/>
        <v/>
      </c>
      <c r="L42" s="7"/>
    </row>
    <row r="43">
      <c r="A43" s="10"/>
      <c r="B43" s="7"/>
      <c r="C43" s="7"/>
      <c r="D43" s="7"/>
      <c r="E43" s="17"/>
      <c r="F43" s="17"/>
      <c r="G43" s="17"/>
      <c r="H43" s="17"/>
      <c r="I43" s="7"/>
      <c r="J43" s="11" t="str">
        <f t="shared" si="1"/>
        <v/>
      </c>
      <c r="K43" s="11" t="str">
        <f t="shared" si="2"/>
        <v/>
      </c>
      <c r="L43" s="7"/>
    </row>
    <row r="44">
      <c r="A44" s="10"/>
      <c r="B44" s="7"/>
      <c r="C44" s="7"/>
      <c r="D44" s="7"/>
      <c r="E44" s="17"/>
      <c r="F44" s="17"/>
      <c r="G44" s="17"/>
      <c r="H44" s="17"/>
      <c r="I44" s="7"/>
      <c r="J44" s="11" t="str">
        <f t="shared" si="1"/>
        <v/>
      </c>
      <c r="K44" s="11" t="str">
        <f t="shared" si="2"/>
        <v/>
      </c>
      <c r="L44" s="7"/>
    </row>
    <row r="45">
      <c r="A45" s="10"/>
      <c r="B45" s="7"/>
      <c r="C45" s="7"/>
      <c r="D45" s="7"/>
      <c r="E45" s="17"/>
      <c r="F45" s="17"/>
      <c r="G45" s="17"/>
      <c r="H45" s="17"/>
      <c r="I45" s="7"/>
      <c r="J45" s="11" t="str">
        <f t="shared" si="1"/>
        <v/>
      </c>
      <c r="K45" s="11" t="str">
        <f t="shared" si="2"/>
        <v/>
      </c>
      <c r="L45" s="7"/>
    </row>
    <row r="46">
      <c r="A46" s="10"/>
      <c r="B46" s="7"/>
      <c r="C46" s="7"/>
      <c r="D46" s="7"/>
      <c r="E46" s="17"/>
      <c r="F46" s="17"/>
      <c r="G46" s="17"/>
      <c r="H46" s="17"/>
      <c r="I46" s="7"/>
      <c r="J46" s="11" t="str">
        <f t="shared" si="1"/>
        <v/>
      </c>
      <c r="K46" s="11" t="str">
        <f t="shared" si="2"/>
        <v/>
      </c>
      <c r="L46" s="7"/>
    </row>
    <row r="47">
      <c r="A47" s="10"/>
      <c r="B47" s="7"/>
      <c r="C47" s="7"/>
      <c r="D47" s="7"/>
      <c r="E47" s="17"/>
      <c r="F47" s="17"/>
      <c r="G47" s="17"/>
      <c r="H47" s="17"/>
      <c r="I47" s="7"/>
      <c r="J47" s="11" t="str">
        <f t="shared" si="1"/>
        <v/>
      </c>
      <c r="K47" s="11" t="str">
        <f t="shared" si="2"/>
        <v/>
      </c>
      <c r="L47" s="7"/>
    </row>
    <row r="48">
      <c r="A48" s="10"/>
      <c r="B48" s="7"/>
      <c r="C48" s="7"/>
      <c r="D48" s="7"/>
      <c r="E48" s="17"/>
      <c r="F48" s="17"/>
      <c r="G48" s="17"/>
      <c r="H48" s="17"/>
      <c r="I48" s="7"/>
      <c r="J48" s="11" t="str">
        <f t="shared" si="1"/>
        <v/>
      </c>
      <c r="K48" s="11" t="str">
        <f t="shared" si="2"/>
        <v/>
      </c>
      <c r="L48" s="7"/>
    </row>
    <row r="49">
      <c r="A49" s="10"/>
      <c r="B49" s="7"/>
      <c r="C49" s="7"/>
      <c r="D49" s="7"/>
      <c r="E49" s="17"/>
      <c r="F49" s="17"/>
      <c r="G49" s="17"/>
      <c r="H49" s="17"/>
      <c r="I49" s="7"/>
      <c r="J49" s="11" t="str">
        <f t="shared" si="1"/>
        <v/>
      </c>
      <c r="K49" s="11" t="str">
        <f t="shared" si="2"/>
        <v/>
      </c>
      <c r="L49" s="7"/>
    </row>
    <row r="50">
      <c r="A50" s="10"/>
      <c r="B50" s="7"/>
      <c r="C50" s="7"/>
      <c r="D50" s="7"/>
      <c r="E50" s="17"/>
      <c r="F50" s="17"/>
      <c r="G50" s="17"/>
      <c r="H50" s="17"/>
      <c r="I50" s="7"/>
      <c r="J50" s="11" t="str">
        <f t="shared" si="1"/>
        <v/>
      </c>
      <c r="K50" s="11" t="str">
        <f t="shared" si="2"/>
        <v/>
      </c>
      <c r="L50" s="7"/>
    </row>
    <row r="51">
      <c r="A51" s="10"/>
      <c r="B51" s="7"/>
      <c r="C51" s="7"/>
      <c r="D51" s="7"/>
      <c r="E51" s="17"/>
      <c r="F51" s="17"/>
      <c r="G51" s="17"/>
      <c r="H51" s="17"/>
      <c r="I51" s="7"/>
      <c r="J51" s="11" t="str">
        <f t="shared" si="1"/>
        <v/>
      </c>
      <c r="K51" s="11" t="str">
        <f t="shared" si="2"/>
        <v/>
      </c>
      <c r="L51" s="7"/>
    </row>
    <row r="52">
      <c r="A52" s="10"/>
      <c r="B52" s="7"/>
      <c r="C52" s="7"/>
      <c r="D52" s="7"/>
      <c r="E52" s="17"/>
      <c r="F52" s="17"/>
      <c r="G52" s="17"/>
      <c r="H52" s="17"/>
      <c r="I52" s="7"/>
      <c r="J52" s="11" t="str">
        <f t="shared" si="1"/>
        <v/>
      </c>
      <c r="K52" s="11" t="str">
        <f t="shared" si="2"/>
        <v/>
      </c>
      <c r="L52" s="7"/>
    </row>
    <row r="53">
      <c r="A53" s="10"/>
      <c r="B53" s="7"/>
      <c r="C53" s="7"/>
      <c r="D53" s="7"/>
      <c r="E53" s="17"/>
      <c r="F53" s="17"/>
      <c r="G53" s="17"/>
      <c r="H53" s="17"/>
      <c r="I53" s="7"/>
      <c r="J53" s="11" t="str">
        <f t="shared" si="1"/>
        <v/>
      </c>
      <c r="K53" s="11" t="str">
        <f t="shared" si="2"/>
        <v/>
      </c>
      <c r="L53" s="7"/>
    </row>
    <row r="54">
      <c r="A54" s="10"/>
      <c r="B54" s="7"/>
      <c r="C54" s="7"/>
      <c r="D54" s="7"/>
      <c r="E54" s="17"/>
      <c r="F54" s="17"/>
      <c r="G54" s="17"/>
      <c r="H54" s="17"/>
      <c r="I54" s="7"/>
      <c r="J54" s="11" t="str">
        <f t="shared" si="1"/>
        <v/>
      </c>
      <c r="K54" s="11" t="str">
        <f t="shared" si="2"/>
        <v/>
      </c>
      <c r="L54" s="7"/>
    </row>
  </sheetData>
  <dataValidations>
    <dataValidation type="custom" allowBlank="1" showDropDown="1" sqref="A5:A54">
      <formula1>OR(NOT(ISERROR(DATEVALUE(A5))), AND(ISNUMBER(A5), LEFT(CELL("format", A5))="D"))</formula1>
    </dataValidation>
    <dataValidation type="list" allowBlank="1" sqref="I5:I54">
      <formula1>"Amazon,Scenario 1,Scenario 2,Scenario 3"</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69696"/>
    <outlinePr summaryBelow="0" summaryRight="0"/>
  </sheetPr>
  <sheetViews>
    <sheetView showGridLines="0" workbookViewId="0"/>
  </sheetViews>
  <sheetFormatPr customHeight="1" defaultColWidth="12.63" defaultRowHeight="15.75" outlineLevelCol="1"/>
  <cols>
    <col customWidth="1" min="1" max="1" width="52.63"/>
    <col customWidth="1" min="2" max="2" width="13.88"/>
    <col customWidth="1" min="3" max="3" width="47.63"/>
  </cols>
  <sheetData>
    <row r="1">
      <c r="A1" s="1" t="s">
        <v>247</v>
      </c>
      <c r="B1" s="2"/>
      <c r="C1" s="2"/>
    </row>
    <row r="2">
      <c r="A2" s="3" t="s">
        <v>248</v>
      </c>
      <c r="B2" s="2"/>
      <c r="C2" s="2"/>
    </row>
    <row r="3">
      <c r="A3" s="2"/>
      <c r="B3" s="2"/>
      <c r="C3" s="2"/>
    </row>
    <row r="4">
      <c r="A4" s="15" t="s">
        <v>249</v>
      </c>
      <c r="B4" s="15" t="s">
        <v>212</v>
      </c>
      <c r="C4" s="15" t="s">
        <v>250</v>
      </c>
    </row>
    <row r="5">
      <c r="A5" s="6" t="s">
        <v>251</v>
      </c>
      <c r="B5" s="32" t="str">
        <f>IF('Shipment Setup'!B24&gt;0,"OK","CHECK")</f>
        <v>OK</v>
      </c>
      <c r="C5" s="9" t="s">
        <v>252</v>
      </c>
    </row>
    <row r="6">
      <c r="A6" s="6" t="s">
        <v>253</v>
      </c>
      <c r="B6" s="32" t="str">
        <f>IF(AND('Shipment Setup'!B24&gt;0,SUMPRODUCT(ABS('Shipment Setup'!T14:T23))=0),"OK","CHECK")</f>
        <v>OK</v>
      </c>
      <c r="C6" s="9" t="s">
        <v>254</v>
      </c>
    </row>
    <row r="7">
      <c r="A7" s="6" t="s">
        <v>255</v>
      </c>
      <c r="B7" s="32" t="str">
        <f>IF(SUMPRODUCT(('Shipment Setup'!B14:B23&gt;0)*(('Shipment Setup'!E14:E23=0)+('Shipment Setup'!G14:G23=0)))=0,"OK","CHECK")</f>
        <v>CHECK</v>
      </c>
      <c r="C7" s="9" t="s">
        <v>256</v>
      </c>
    </row>
    <row r="8">
      <c r="A8" s="6" t="s">
        <v>257</v>
      </c>
      <c r="B8" s="32" t="str">
        <f>IF(SUMPRODUCT(('Shipment Setup'!B14:B23&gt;0)*('Shipment Setup'!I14:I23=0))=0,"OK","CHECK")</f>
        <v>CHECK</v>
      </c>
      <c r="C8" s="9" t="s">
        <v>258</v>
      </c>
    </row>
    <row r="9">
      <c r="A9" s="6" t="s">
        <v>259</v>
      </c>
      <c r="B9" s="32" t="str">
        <f>IF(COUNTIF('Rate Card'!E5:E7,"OK")=3,"OK","VERIFY")</f>
        <v>VERIFY</v>
      </c>
      <c r="C9" s="9" t="s">
        <v>260</v>
      </c>
    </row>
    <row r="10">
      <c r="A10" s="6" t="s">
        <v>261</v>
      </c>
      <c r="B10" s="32" t="str">
        <f>IF('Amazon Path (AGL)'!F16=0,"CHECK","OK")</f>
        <v>CHECK</v>
      </c>
      <c r="C10" s="9" t="s">
        <v>262</v>
      </c>
    </row>
    <row r="11">
      <c r="A11" s="6" t="s">
        <v>263</v>
      </c>
      <c r="B11" s="32" t="str">
        <f>IF('Amazon Path (AGL)'!F16=0,"n/a",IF('Amazon Path (AGL)'!B6="","CHECK",IF('Amazon Path (AGL)'!B6&gt;='Shipment Setup'!B6,"OK","EXPIRED")))</f>
        <v>n/a</v>
      </c>
      <c r="C11" s="9" t="s">
        <v>265</v>
      </c>
    </row>
    <row r="12">
      <c r="A12" s="6" t="s">
        <v>266</v>
      </c>
      <c r="B12" s="32" t="str">
        <f>IF('Amazon Path (AGL)'!F16=0,"n/a",IF(AND(ABS(SUM('Amazon Path (AGL)'!G25:G28)-'Amazon Path (AGL)'!F16)&lt;0.01,ABS(SUM('Amazon Path (AGL)'!G32:G41)-'Amazon Path (AGL)'!F16)&lt;0.01),"OK","CHECK"))</f>
        <v>n/a</v>
      </c>
      <c r="C12" s="9" t="s">
        <v>267</v>
      </c>
    </row>
    <row r="13">
      <c r="A13" s="6" t="s">
        <v>268</v>
      </c>
      <c r="B13" s="32" t="str">
        <f>IF('Scenario 1'!F16=0,"n/a","OK")</f>
        <v>n/a</v>
      </c>
      <c r="C13" s="9" t="s">
        <v>262</v>
      </c>
    </row>
    <row r="14">
      <c r="A14" s="6" t="s">
        <v>269</v>
      </c>
      <c r="B14" s="32" t="str">
        <f>IF('Scenario 1'!F16=0,"n/a",IF(AND('Scenario 1'!B8&lt;&gt;"",'Scenario 1'!B9&lt;&gt;""),"OK","CHECK"))</f>
        <v>n/a</v>
      </c>
      <c r="C14" s="9" t="s">
        <v>270</v>
      </c>
    </row>
    <row r="15">
      <c r="A15" s="6" t="s">
        <v>271</v>
      </c>
      <c r="B15" s="32" t="str">
        <f>IF('Scenario 1'!F16=0,"n/a",IF('Scenario 1'!B7="","CHECK",IF('Scenario 1'!B7&gt;='Shipment Setup'!B6,"OK","EXPIRED")))</f>
        <v>n/a</v>
      </c>
      <c r="C15" s="9" t="s">
        <v>265</v>
      </c>
    </row>
    <row r="16">
      <c r="A16" s="6" t="s">
        <v>272</v>
      </c>
      <c r="B16" s="32" t="str">
        <f>IF('Scenario 1'!F16=0,"n/a",IF(AND(ABS(SUM('Scenario 1'!G25:G28)-'Scenario 1'!F16)&lt;0.01,ABS(SUM('Scenario 1'!G32:G41)-'Scenario 1'!F16)&lt;0.01),"OK","CHECK"))</f>
        <v>n/a</v>
      </c>
      <c r="C16" s="9" t="s">
        <v>267</v>
      </c>
    </row>
    <row r="17">
      <c r="A17" s="6" t="s">
        <v>273</v>
      </c>
      <c r="B17" s="32" t="str">
        <f>IF('Scenario 2'!F16=0,"n/a","OK")</f>
        <v>n/a</v>
      </c>
      <c r="C17" s="9" t="s">
        <v>262</v>
      </c>
    </row>
    <row r="18">
      <c r="A18" s="6" t="s">
        <v>274</v>
      </c>
      <c r="B18" s="32" t="str">
        <f>IF('Scenario 2'!F16=0,"n/a",IF(AND('Scenario 2'!B8&lt;&gt;"",'Scenario 2'!B9&lt;&gt;""),"OK","CHECK"))</f>
        <v>n/a</v>
      </c>
      <c r="C18" s="9" t="s">
        <v>270</v>
      </c>
    </row>
    <row r="19">
      <c r="A19" s="6" t="s">
        <v>275</v>
      </c>
      <c r="B19" s="32" t="str">
        <f>IF('Scenario 2'!F16=0,"n/a",IF('Scenario 2'!B7="","CHECK",IF('Scenario 2'!B7&gt;='Shipment Setup'!B6,"OK","EXPIRED")))</f>
        <v>n/a</v>
      </c>
      <c r="C19" s="9" t="s">
        <v>265</v>
      </c>
    </row>
    <row r="20">
      <c r="A20" s="6" t="s">
        <v>276</v>
      </c>
      <c r="B20" s="32" t="str">
        <f>IF('Scenario 2'!F16=0,"n/a",IF(AND(ABS(SUM('Scenario 2'!G25:G28)-'Scenario 2'!F16)&lt;0.01,ABS(SUM('Scenario 2'!G32:G41)-'Scenario 2'!F16)&lt;0.01),"OK","CHECK"))</f>
        <v>n/a</v>
      </c>
      <c r="C20" s="9" t="s">
        <v>267</v>
      </c>
    </row>
    <row r="21">
      <c r="A21" s="6" t="s">
        <v>277</v>
      </c>
      <c r="B21" s="32" t="str">
        <f>IF('Scenario 3'!F16=0,"n/a","OK")</f>
        <v>n/a</v>
      </c>
      <c r="C21" s="9" t="s">
        <v>262</v>
      </c>
    </row>
    <row r="22">
      <c r="A22" s="6" t="s">
        <v>278</v>
      </c>
      <c r="B22" s="32" t="str">
        <f>IF('Scenario 3'!F16=0,"n/a",IF(AND('Scenario 3'!B8&lt;&gt;"",'Scenario 3'!B9&lt;&gt;""),"OK","CHECK"))</f>
        <v>n/a</v>
      </c>
      <c r="C22" s="9" t="s">
        <v>270</v>
      </c>
    </row>
    <row r="23">
      <c r="A23" s="6" t="s">
        <v>279</v>
      </c>
      <c r="B23" s="32" t="str">
        <f>IF('Scenario 3'!F16=0,"n/a",IF('Scenario 3'!B7="","CHECK",IF('Scenario 3'!B7&gt;='Shipment Setup'!B6,"OK","EXPIRED")))</f>
        <v>n/a</v>
      </c>
      <c r="C23" s="9" t="s">
        <v>265</v>
      </c>
    </row>
    <row r="24">
      <c r="A24" s="6" t="s">
        <v>280</v>
      </c>
      <c r="B24" s="32" t="str">
        <f>IF('Scenario 3'!F16=0,"n/a",IF(AND(ABS(SUM('Scenario 3'!G25:G28)-'Scenario 3'!F16)&lt;0.01,ABS(SUM('Scenario 3'!G32:G41)-'Scenario 3'!F16)&lt;0.01),"OK","CHECK"))</f>
        <v>n/a</v>
      </c>
      <c r="C24" s="9" t="s">
        <v>267</v>
      </c>
    </row>
  </sheetData>
  <conditionalFormatting sqref="B5:B24">
    <cfRule type="expression" dxfId="4" priority="1" stopIfTrue="1">
      <formula>B5="n/a"</formula>
    </cfRule>
  </conditionalFormatting>
  <conditionalFormatting sqref="B5:B24">
    <cfRule type="expression" dxfId="1" priority="2" stopIfTrue="1">
      <formula>OR(B5="CHECK",B5="EXPIRED",B5="VERIFY")</formula>
    </cfRule>
  </conditionalFormatting>
  <conditionalFormatting sqref="B5:B24">
    <cfRule type="expression" dxfId="3" priority="3" stopIfTrue="1">
      <formula>B5="OK"</formula>
    </cfRule>
  </conditionalFormatting>
  <drawing r:id="rId1"/>
</worksheet>
</file>